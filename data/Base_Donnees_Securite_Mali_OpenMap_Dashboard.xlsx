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xr:revisionPtr revIDLastSave="0" documentId="8_{3B4265F6-C9ED-E24E-859C-CD03BE68B5E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_CARTOGRAPHIE" sheetId="1" r:id="rId1"/>
    <sheet name="TABLEAU_DE_BORD" sheetId="2" r:id="rId2"/>
    <sheet name="DICTIONNAIRE_DONNEE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2" l="1"/>
  <c r="C17" i="2"/>
  <c r="C16" i="2"/>
  <c r="C15" i="2"/>
  <c r="C14" i="2"/>
  <c r="C13" i="2"/>
  <c r="H8" i="2"/>
  <c r="E8" i="2"/>
  <c r="B8" i="2"/>
  <c r="H5" i="2"/>
  <c r="E5" i="2"/>
  <c r="B5" i="2"/>
</calcChain>
</file>

<file path=xl/sharedStrings.xml><?xml version="1.0" encoding="utf-8"?>
<sst xmlns="http://schemas.openxmlformats.org/spreadsheetml/2006/main" count="597" uniqueCount="409">
  <si>
    <t>BASE DE DONNÉES SÉCURITAIRES - MALI &amp; SAHEL (AOUT - OCTOBRE 2026)</t>
  </si>
  <si>
    <t>Format standardisé SIG / OpenStreetMap - Coordonnées WGS84 (EPSG:4326) - Compilations Naïm TOURÉ</t>
  </si>
  <si>
    <t>ID_Incident</t>
  </si>
  <si>
    <t>Date</t>
  </si>
  <si>
    <t>Pays</t>
  </si>
  <si>
    <t>Region_Secteur</t>
  </si>
  <si>
    <t>Localite</t>
  </si>
  <si>
    <t>Latitude</t>
  </si>
  <si>
    <t>Longitude</t>
  </si>
  <si>
    <t>Typologie_Incident</t>
  </si>
  <si>
    <t>Acteur_Instigateur</t>
  </si>
  <si>
    <t>Acteur_Cible</t>
  </si>
  <si>
    <t>Acteur_Tiers</t>
  </si>
  <si>
    <t>Description_Details</t>
  </si>
  <si>
    <t>Morts_Civils</t>
  </si>
  <si>
    <t>Blesses_Civils</t>
  </si>
  <si>
    <t>Morts_FDS_FAMA</t>
  </si>
  <si>
    <t>Morts_Allies_AfricaCorps</t>
  </si>
  <si>
    <t>Morts_Groupes_Armes</t>
  </si>
  <si>
    <t>Captures_Prisonniers</t>
  </si>
  <si>
    <t>Vehicules_Aéronefs_Détruits</t>
  </si>
  <si>
    <t>Vehicules_Aéronefs_Saisis</t>
  </si>
  <si>
    <t>Armements_Equipements_Saisis</t>
  </si>
  <si>
    <t>Impact_Infrastructures</t>
  </si>
  <si>
    <t>Sources</t>
  </si>
  <si>
    <t>INC-2026-001</t>
  </si>
  <si>
    <t>2026-08-31</t>
  </si>
  <si>
    <t>Mali</t>
  </si>
  <si>
    <t>Mopti / Bandiagara</t>
  </si>
  <si>
    <t>NINNGARI</t>
  </si>
  <si>
    <t>Attaque de Poste / Localité</t>
  </si>
  <si>
    <t>JNIM</t>
  </si>
  <si>
    <t>Milices Dozos</t>
  </si>
  <si>
    <t>Aucun</t>
  </si>
  <si>
    <t>Le JNIM a attaqué la localité stratégique de NINNGARI à Bandiagara et en a pris le contrôle total.</t>
  </si>
  <si>
    <t>Non spécifié</t>
  </si>
  <si>
    <t>Prise de contrôle de la localité</t>
  </si>
  <si>
    <t>AzZalaqa, Hasret K., Naïm TOURÉ</t>
  </si>
  <si>
    <t>INC-2026-002</t>
  </si>
  <si>
    <t>Kidal</t>
  </si>
  <si>
    <t>Aguelhoc / Kidal</t>
  </si>
  <si>
    <t>Frappe Drone / Air</t>
  </si>
  <si>
    <t>FLA / Armée de l'Azawad</t>
  </si>
  <si>
    <t>FAMa / Africa Corps</t>
  </si>
  <si>
    <t>L’Armée de l’Azawad a mené plusieurs frappes de drones FPV contre le camp conjoint Africa Corps et FAMa.</t>
  </si>
  <si>
    <t>Camp militaire ciblé par drones FPV</t>
  </si>
  <si>
    <t>FLA, Naïm TOURÉ</t>
  </si>
  <si>
    <t>INC-2026-003</t>
  </si>
  <si>
    <t>2026-09-01</t>
  </si>
  <si>
    <t>Mali / Burkina Faso</t>
  </si>
  <si>
    <t>Frontière Mali-Burkina (Oudalan / Ndaki)</t>
  </si>
  <si>
    <t>Gonadaouri / Ndaki</t>
  </si>
  <si>
    <t>Affrontement Inter-JNIM-EIS</t>
  </si>
  <si>
    <t>EI-Sahel (EIS)</t>
  </si>
  <si>
    <t>Violents affrontements entre l'EI-Sahel et le JNIM. L'EI-Sahel affirme avoir tué plus de 200 à 400 combattants du JNIM et capturé un vaste territoire frontalier.</t>
  </si>
  <si>
    <t>242 fusils, importantes munitions</t>
  </si>
  <si>
    <t>Contrôle territorial modifié le long de la frontière</t>
  </si>
  <si>
    <t>EIS, Brant P., JNIM, Naïm TOURÉ</t>
  </si>
  <si>
    <t>INC-2026-004</t>
  </si>
  <si>
    <t>2026-09-02</t>
  </si>
  <si>
    <t>Ségou</t>
  </si>
  <si>
    <t>Axe Ségou - Fana</t>
  </si>
  <si>
    <t>Sabotage / Incendie de Convoi</t>
  </si>
  <si>
    <t>Transport commercial / Citernes</t>
  </si>
  <si>
    <t>Des combattants du JNIM ont incendié plusieurs citernes de carburant sur l'axe Ségou-Fana.</t>
  </si>
  <si>
    <t>Axe routier Ségou-Fana perturbé, citernes détruites</t>
  </si>
  <si>
    <t>Sagnon, Naïm TOURÉ</t>
  </si>
  <si>
    <t>INC-2026-005</t>
  </si>
  <si>
    <t>2026-09-04</t>
  </si>
  <si>
    <t>Kidal Ville</t>
  </si>
  <si>
    <t>Bombardement Aérien</t>
  </si>
  <si>
    <t>Africa Corps / FAMa</t>
  </si>
  <si>
    <t>Résidence du Maire de Kidal</t>
  </si>
  <si>
    <t>Civils</t>
  </si>
  <si>
    <t>Un avion de chasse Sukhoï 24 appartenant à Africa Corps a bombardé la résidence du maire de Kidal.</t>
  </si>
  <si>
    <t>Résidence du maire pilonnée</t>
  </si>
  <si>
    <t>Outamashaq, Naïm TOURÉ</t>
  </si>
  <si>
    <t>INC-2026-006</t>
  </si>
  <si>
    <t>2026-09-07</t>
  </si>
  <si>
    <t>Mopti</t>
  </si>
  <si>
    <t>Kaka</t>
  </si>
  <si>
    <t>Embuscade</t>
  </si>
  <si>
    <t>Embuscade du JNIM contre une patrouille conjointe FAMa et Africa Corps. Plusieurs mercenaires russes tués.</t>
  </si>
  <si>
    <t>Convoi militaire stoppé</t>
  </si>
  <si>
    <t>Sahel Alerte, Naïm TOURÉ</t>
  </si>
  <si>
    <t>INC-2026-007</t>
  </si>
  <si>
    <t>2026-09-10</t>
  </si>
  <si>
    <t>Dioura</t>
  </si>
  <si>
    <t>Attaque Majeure de Camp / Base</t>
  </si>
  <si>
    <t>JNIM (Abou Mokhtar al-Ansari)</t>
  </si>
  <si>
    <t>FAMa (Camp militaire)</t>
  </si>
  <si>
    <t>Prise du camp de Dioura par le JNIM. Attaque dévastatrice avec plus de 150 soldats tués (dont 1 Colonel et 1 Capitaine) et 93 capturés.</t>
  </si>
  <si>
    <t>233 Kalachnikovs, 32 PKM, 17 Doushka, 10 RPG, 6 x 14mm, 3 mortiers/SPG, munitions</t>
  </si>
  <si>
    <t>Camp militaire de Dioura détruit et pris</t>
  </si>
  <si>
    <t>AzZalaqa, Hasret K., Sahel Alerte, Naïm TOURÉ</t>
  </si>
  <si>
    <t>INC-2026-008</t>
  </si>
  <si>
    <t>2026-09-14</t>
  </si>
  <si>
    <t>Koulikoro</t>
  </si>
  <si>
    <t>Axe Mourdja - Kaloumba</t>
  </si>
  <si>
    <t>Engin Explosif Improvisé (EEI)</t>
  </si>
  <si>
    <t>Attaque à l'EEI visant une patrouille mixte FAMa-Africa Corps sur l'axe Mourdja-Kaloumba.</t>
  </si>
  <si>
    <t>Véhicule militaire touché par EEI</t>
  </si>
  <si>
    <t>INC-2026-009</t>
  </si>
  <si>
    <t>2026-09-15</t>
  </si>
  <si>
    <t>Aéroport de Sévaré / Konna</t>
  </si>
  <si>
    <t>Tirs de Mortier / Artillerie</t>
  </si>
  <si>
    <t>Base Aérienne FAMa / Africa Corps</t>
  </si>
  <si>
    <t>Tirs de mortiers et canons SPG-9 contre la base de Sévaré et Konna. 4 drones (Bayraktar TB2 / Akıncı) et plusieurs hélicoptères endommagés. Tour radar détruite.</t>
  </si>
  <si>
    <t>Tour de contrôle réseau drone et radar détruits</t>
  </si>
  <si>
    <t>INC-2026-010</t>
  </si>
  <si>
    <t>2026-09-16</t>
  </si>
  <si>
    <t>Mopti / Ténenkou</t>
  </si>
  <si>
    <t>Guèllèdjè</t>
  </si>
  <si>
    <t>Frappe Drone / Bavure Civile</t>
  </si>
  <si>
    <t>FAMa / Africa Corps (Drone)</t>
  </si>
  <si>
    <t>Point de connexion Starlink (Civils)</t>
  </si>
  <si>
    <t>Bombardement par un drone militaire sur un point d'accès Starlink dans le village de Guèllèdjè.</t>
  </si>
  <si>
    <t>Station Starlink civile détruite</t>
  </si>
  <si>
    <t>Naïm TOURÉ</t>
  </si>
  <si>
    <t>INC-2026-011</t>
  </si>
  <si>
    <t>2026-09-18</t>
  </si>
  <si>
    <t>Kassela (~40km Bamako)</t>
  </si>
  <si>
    <t>Attaque de Poste / Infiltration</t>
  </si>
  <si>
    <t>Poste de contrôle FAMa</t>
  </si>
  <si>
    <t>Attaque nocturne (21h-22h) et prise de contrôle totale d'un poste de l'armée à seulement 40 km de Bamako.</t>
  </si>
  <si>
    <t>Armes légères et munitions</t>
  </si>
  <si>
    <t>Poste de contrôle de Kassela incendié</t>
  </si>
  <si>
    <t>Sahel Alerte, AzZalaqa, Naïm TOURÉ</t>
  </si>
  <si>
    <t>INC-2026-012</t>
  </si>
  <si>
    <t>2026-09-19</t>
  </si>
  <si>
    <t>Bla &amp; Noumouna</t>
  </si>
  <si>
    <t>Attaque / Menace Sécuritaire</t>
  </si>
  <si>
    <t>FAMa / Positions administratives</t>
  </si>
  <si>
    <t>Pression sécuritaire accrue et attaques ciblées sur Noumouna et Bla. Entraîne l'annulation des cérémonies de l'indépendance à Bla.</t>
  </si>
  <si>
    <t>Festivités nationales du 22 septembre annulées</t>
  </si>
  <si>
    <t>INC-2026-013</t>
  </si>
  <si>
    <t>2026-09-20</t>
  </si>
  <si>
    <t>Ségou / Niono</t>
  </si>
  <si>
    <t>Diabali / Molodo</t>
  </si>
  <si>
    <t>Embuscade / Fuite de Convoi</t>
  </si>
  <si>
    <t>Patrouille mixte prise en embuscade. Les mercenaires russes fuient en abandonnant 3 véhicules blindés dont un GAZ-2330 et leurs équipements.</t>
  </si>
  <si>
    <t>Armes, munitions, drapeau Africa Corps</t>
  </si>
  <si>
    <t>Abandon de matériel lourd militaire</t>
  </si>
  <si>
    <t>JNIM, Sahel Alerte, Naïm TOURÉ</t>
  </si>
  <si>
    <t>INC-2026-014</t>
  </si>
  <si>
    <t>2026-09-24</t>
  </si>
  <si>
    <t>Carrefour Djenné</t>
  </si>
  <si>
    <t>Attaque de Caserne</t>
  </si>
  <si>
    <t>Poste / Caserne FAMa</t>
  </si>
  <si>
    <t>Attaque contre la caserne du Carrefour Djenné. 2 soldats tués, 2 véhicules détruits et 5 véhicules saisis ainsi qu'un drone.</t>
  </si>
  <si>
    <t>1 drone, fusils et importantes munitions</t>
  </si>
  <si>
    <t>Caserne militaire partiellement saccagée</t>
  </si>
  <si>
    <t>Sagnon, AzZalaqa, Hasret K., Naïm TOURÉ</t>
  </si>
  <si>
    <t>INC-2026-015</t>
  </si>
  <si>
    <t>Douentza (Quartier Fombori)</t>
  </si>
  <si>
    <t>Explosion / Attaque Ciblée</t>
  </si>
  <si>
    <t>Non identifié (Probablement JNIM)</t>
  </si>
  <si>
    <t>Milices pro-gouvernementales</t>
  </si>
  <si>
    <t>Forte explosion à la sortie sud de Douentza visant une position des milices pro-gouvernementales.</t>
  </si>
  <si>
    <t>Position de milice touchée par déflagration</t>
  </si>
  <si>
    <t>INC-2026-016</t>
  </si>
  <si>
    <t>2026-09-25</t>
  </si>
  <si>
    <t>Aguelhoc</t>
  </si>
  <si>
    <t>Défense Antiaérienne / Drone Abattu</t>
  </si>
  <si>
    <t>Armée de l'Azawad (FLA)</t>
  </si>
  <si>
    <t>Drone Africa Corps (Molniya-2)</t>
  </si>
  <si>
    <t>L’armée de l’Azawad a abattu un drone russe Molniya-2 à Aguelhoc sans faire de victimes au sol.</t>
  </si>
  <si>
    <t>Débris de drone</t>
  </si>
  <si>
    <t>Perte matérielle pour Africa Corps</t>
  </si>
  <si>
    <t>INC-2026-017</t>
  </si>
  <si>
    <t>2026-09-27</t>
  </si>
  <si>
    <t>Nord de Niono</t>
  </si>
  <si>
    <t>Embuscade / Riposte</t>
  </si>
  <si>
    <t>Le JNIM repousse une offensive de patrouille russe et malienne au nord de Niono. 7 morts/blessés russes, 2 véhicules détruits.</t>
  </si>
  <si>
    <t>2 AK-47, 3 lance-grenades, 2 drones DJI, 2 radars, 17 grenades</t>
  </si>
  <si>
    <t>Offensive militaire mise en échec</t>
  </si>
  <si>
    <t>AzZalaqa, Sahel Alerte, Ghana C. Monitor, Naïm TOURÉ</t>
  </si>
  <si>
    <t>INC-2026-018</t>
  </si>
  <si>
    <t>2026-09-28</t>
  </si>
  <si>
    <t>Ségou / Mopti</t>
  </si>
  <si>
    <t>Axe Niono - Dioura</t>
  </si>
  <si>
    <t>Nouvelle embuscade contre les forces conjointe FAMa-Russes sur l'axe Niono-Dioura.</t>
  </si>
  <si>
    <t>Munitions</t>
  </si>
  <si>
    <t>Axe sous haute insécurité</t>
  </si>
  <si>
    <t>JNIM, Sagnon, Naïm TOURÉ</t>
  </si>
  <si>
    <t>INC-2026-019</t>
  </si>
  <si>
    <t>Gao / Ménaka</t>
  </si>
  <si>
    <t>Axe Ansongo - Ménaka / Tessit</t>
  </si>
  <si>
    <t>Embuscade &amp; Affrontement Inter-groupe</t>
  </si>
  <si>
    <t>FAMa / JNIM</t>
  </si>
  <si>
    <t>Embuscade contre un convoi FAMa entre Ansongo et Ménaka, puis affrontements entre EIS et JNIM près de Tessit.</t>
  </si>
  <si>
    <t>Zone des Trois Frontières sous tension extrême</t>
  </si>
  <si>
    <t>Brant P., Naïm TOURÉ</t>
  </si>
  <si>
    <t>INC-2026-020</t>
  </si>
  <si>
    <t>2026-09-29</t>
  </si>
  <si>
    <t>Tombouctou</t>
  </si>
  <si>
    <t>Goundam</t>
  </si>
  <si>
    <t>Frappe Drone Kamikaze</t>
  </si>
  <si>
    <t>Frappe de drones FPV kamikazes menée par le FLA contre le camp militaire mixte de Goundam.</t>
  </si>
  <si>
    <t>Installations du camp touchées</t>
  </si>
  <si>
    <t>INC-2026-021</t>
  </si>
  <si>
    <t>2026-10-04</t>
  </si>
  <si>
    <t>Sikasso / Koutiala</t>
  </si>
  <si>
    <t>Tieri / Tiéré</t>
  </si>
  <si>
    <t>Bombardement Aérien / Bavure Civile</t>
  </si>
  <si>
    <t>FAMa (Aviation)</t>
  </si>
  <si>
    <t>Base présumée terroriste (Village civil)</t>
  </si>
  <si>
    <t>Frappe aérienne de l'armée sur le village de Tieri au sud-est de Tiéré. Tue 2 enfants et 1 femme, 1 blessé.</t>
  </si>
  <si>
    <t>Habitations civiles détruites</t>
  </si>
  <si>
    <t>AzZalaqa, État-Major FAMa, Ghana C. Monitor, Naïm TOURÉ</t>
  </si>
  <si>
    <t>INC-2026-022</t>
  </si>
  <si>
    <t>2026-10-05</t>
  </si>
  <si>
    <t>Kidal / Mopti</t>
  </si>
  <si>
    <t>Anéfif, Djenné, Kidal, Tinzaouatène</t>
  </si>
  <si>
    <t>Campagne de Frappes Aériennes</t>
  </si>
  <si>
    <t>FAMa (Drones &amp; Chasseurs)</t>
  </si>
  <si>
    <t>Positions JNIM / FLA</t>
  </si>
  <si>
    <t>Vaste campagne de frappes aériennes sur plusieurs positions clés des groupes armés à Anéfif, Djenné, Kidal et Tinzaouatène.</t>
  </si>
  <si>
    <t>Bases logistiques ennemies pilonnées</t>
  </si>
  <si>
    <t>État-Major FAMa, Hasret K., Naïm TOURÉ</t>
  </si>
  <si>
    <t>INC-2026-023</t>
  </si>
  <si>
    <t>2026-10-07</t>
  </si>
  <si>
    <t>Sikasso</t>
  </si>
  <si>
    <t>Kourouma</t>
  </si>
  <si>
    <t>Attaque de Poste / Infiltration Sud</t>
  </si>
  <si>
    <t>Poste de l'armée malienne</t>
  </si>
  <si>
    <t>Le JNIM prend le contrôle total d'un poste militaire à Kourouma dans la région méridionale de Sikasso.</t>
  </si>
  <si>
    <t>Armes et munitions</t>
  </si>
  <si>
    <t>Poste militaire saccagé</t>
  </si>
  <si>
    <t>AzZalaqa, Sahel Alerte, Naïm TOURÉ</t>
  </si>
  <si>
    <t>INC-2026-024</t>
  </si>
  <si>
    <t>2026-10-08</t>
  </si>
  <si>
    <t>Koïgama</t>
  </si>
  <si>
    <t>Attaque à l'EEI détruisant un véhicule blindé. Tous les occupants civils/militaires russes et maliens tués sur le coup.</t>
  </si>
  <si>
    <t>Véhicule détruit par EEI</t>
  </si>
  <si>
    <t>INC-2026-025</t>
  </si>
  <si>
    <t>2026-10-09</t>
  </si>
  <si>
    <t>Burkina Faso / Mali</t>
  </si>
  <si>
    <t>Oudalan (Sahel)</t>
  </si>
  <si>
    <t>Ganadaouri / Arbinda / Tin-Akoff</t>
  </si>
  <si>
    <t>Bataille Majeure Inter-terroriste</t>
  </si>
  <si>
    <t>JNIM vs EI-Sahel (EIS)</t>
  </si>
  <si>
    <t>JNIM / EIS</t>
  </si>
  <si>
    <t>La bataille la plus meurtrière enregistrée au Sahel : environ 400 combattants du JNIM tués lors d'une offensive repoussée par l'EIS à Ganadaouri.</t>
  </si>
  <si>
    <t>Stock massif d'armes et motos</t>
  </si>
  <si>
    <t>Repositionnement tactique majeur de l'EIS</t>
  </si>
  <si>
    <t>Amaq, Acled (Héni Nsaibia), Wamaps, Naïm TOURÉ</t>
  </si>
  <si>
    <t>INC-2026-026</t>
  </si>
  <si>
    <t>2026-10-10</t>
  </si>
  <si>
    <t>Soumpi</t>
  </si>
  <si>
    <t>Frappe Drone FPV</t>
  </si>
  <si>
    <t>Attaque par drones kamikazes FPV détruisant un véhicule de combat transportant une arme lourde.</t>
  </si>
  <si>
    <t>Véhicule avec arme lourde détruit</t>
  </si>
  <si>
    <t>FLA, Sahel Alerte, Naïm TOURÉ</t>
  </si>
  <si>
    <t>INC-2026-027</t>
  </si>
  <si>
    <t>Reconquête Stratégique</t>
  </si>
  <si>
    <t>FAMa / Africa Corps (~4000 hommes)</t>
  </si>
  <si>
    <t>FLA (Cadres de l'Azawad)</t>
  </si>
  <si>
    <t>Victoire majeure pour les FAMa et l'AES : reprise officielle de la ville stratégique de Kidal qui était sous contrôle du FLA depuis avril 2026.</t>
  </si>
  <si>
    <t>Matériel militaire abandonné par le FLA</t>
  </si>
  <si>
    <t>Reprise de la garnison et des bâtiments officiels de Kidal</t>
  </si>
  <si>
    <t>Jeune Afrique, Naïm TOURÉ</t>
  </si>
  <si>
    <t>INC-2026-028</t>
  </si>
  <si>
    <t>2026-10-11</t>
  </si>
  <si>
    <t>Gao</t>
  </si>
  <si>
    <t>Tagoudou</t>
  </si>
  <si>
    <t>Crash d'Aéronef / Hélicoptère</t>
  </si>
  <si>
    <t>Panne / Inconnu</t>
  </si>
  <si>
    <t>Africa Corps (Hélicoptère)</t>
  </si>
  <si>
    <t>Crash d'un hélicoptère militaire russe près de Tagoudou. Lourd bilan humain chez les mercenaires russes d'Africa Corps, évacuation d'urgence.</t>
  </si>
  <si>
    <t>Aéronef pulvérisé</t>
  </si>
  <si>
    <t>INC-2026-029</t>
  </si>
  <si>
    <t>Kona - Kounsa &amp; Somadougou</t>
  </si>
  <si>
    <t>EEI &amp; Embuscade Dozo</t>
  </si>
  <si>
    <t>Africa Corps &amp; Milices Dozo</t>
  </si>
  <si>
    <t>Attaque EEI télécommandée contre Africa Corps entre Kona et Kounsa, doublée d'une embuscade contre une patrouille Dozo à Somadougou.</t>
  </si>
  <si>
    <t>Fusils traditionnels et munitions</t>
  </si>
  <si>
    <t>Matériel militaire endommagé</t>
  </si>
  <si>
    <t>AzZalaqa, Sahel Alerte, Hasret K., Naïm TOURÉ</t>
  </si>
  <si>
    <t>INC-2026-030</t>
  </si>
  <si>
    <t>Axe Dougabougou - Markala</t>
  </si>
  <si>
    <t>Embuscade Mortelle sur Convoi</t>
  </si>
  <si>
    <t>Embuscade contre un convoi. Nombreuses victimes chez les soldats maliens et mercenaires russes, diffusion de vidéos de corps.</t>
  </si>
  <si>
    <t>Armes lourdes et équipements individuels</t>
  </si>
  <si>
    <t>Convoi complètement disloqué</t>
  </si>
  <si>
    <t>INC-2026-031</t>
  </si>
  <si>
    <t>2026-10-13</t>
  </si>
  <si>
    <t>Région de Ségou</t>
  </si>
  <si>
    <t>Crash Drone de Combat MALE</t>
  </si>
  <si>
    <t>Panne Technique / Inconnu</t>
  </si>
  <si>
    <t>Drone Kronstadt Orion (Inokhodets)</t>
  </si>
  <si>
    <t>Crash d'un drone russe de combat et reconnaissance MALE Kronstadt Orion (Inokhodets) d'une envergure de 16m.</t>
  </si>
  <si>
    <t>Épave récupérée</t>
  </si>
  <si>
    <t>Perte stratégique aérienne de pointe</t>
  </si>
  <si>
    <t>F. Walett, Naïm TOURÉ</t>
  </si>
  <si>
    <t>INC-2026-032</t>
  </si>
  <si>
    <t>2026-10-15</t>
  </si>
  <si>
    <t>Nzanakoro</t>
  </si>
  <si>
    <t>FAMa / Africa Corps (Aviation)</t>
  </si>
  <si>
    <t>Village Peul (Civils)</t>
  </si>
  <si>
    <t>Tragédie de Nzanakoro : 7 frappes aériennes sur le village. 4 fillettes et 2 femmes mortes, 13 civils gravement blessés.</t>
  </si>
  <si>
    <t>Carnage et destruction d'habitations civiles villageoises</t>
  </si>
  <si>
    <t>Wassim Nasr, Naïm TOURÉ</t>
  </si>
  <si>
    <t>INC-2026-033</t>
  </si>
  <si>
    <t>2026-10-19</t>
  </si>
  <si>
    <t>Djambiya (Axe Bandiagara-Douentza)</t>
  </si>
  <si>
    <t>Attaque de VIP / Chef de Milice</t>
  </si>
  <si>
    <t>Youssouf Toloba (Dan Na Ambassagou)</t>
  </si>
  <si>
    <t>Attaque contre le convoi de Youssouf Toloba (chef des Dozos). Son chauffeur a été tué et son véhicule personnel a été capturé par le JNIM.</t>
  </si>
  <si>
    <t>Equipements personnels</t>
  </si>
  <si>
    <t>Coup psychologique contre la milice Dozo</t>
  </si>
  <si>
    <t>Hasret K., Serge Daniel, Abbasi, Naïm TOURÉ</t>
  </si>
  <si>
    <t>INC-2026-034</t>
  </si>
  <si>
    <t>2026-10-24</t>
  </si>
  <si>
    <t>Gouma - Tidoul (près de Diabaly)</t>
  </si>
  <si>
    <t>Embuscade sur Patrouille</t>
  </si>
  <si>
    <t>Patrouille FAMa</t>
  </si>
  <si>
    <t>Le JNIM attaque une patrouille de l'armée malienne entre Gouma et Tidoul.</t>
  </si>
  <si>
    <t>Fusils AK-47</t>
  </si>
  <si>
    <t>Véhicule militaire dégradé</t>
  </si>
  <si>
    <t>INC-2026-035</t>
  </si>
  <si>
    <t>2026-10-25</t>
  </si>
  <si>
    <t>Tombouctou Ville / Périphérie</t>
  </si>
  <si>
    <t>Frappe Aérienne / Représailles</t>
  </si>
  <si>
    <t>FAMa / Africa Corps vs JNIM</t>
  </si>
  <si>
    <t>Tentes de civils / Soldats</t>
  </si>
  <si>
    <t>Frappe aérienne ciblant des tentes de civils (12 civils tués). En représailles immédiates, le JNIM a abattu 4 soldats.</t>
  </si>
  <si>
    <t>Tentes et campements nomades civils détruits</t>
  </si>
  <si>
    <t>AzZalaqa, Ghana C. Monitor, Naïm TOURÉ</t>
  </si>
  <si>
    <t>INC-2026-036</t>
  </si>
  <si>
    <t>2026-10-26</t>
  </si>
  <si>
    <t>Nampala</t>
  </si>
  <si>
    <t>Attaque à l'EEI Dirigé</t>
  </si>
  <si>
    <t>Poste FAMa à l'entrée de la ville</t>
  </si>
  <si>
    <t>Attaque ciblant un poste de contrôle à l'entrée de Nampala avec un engin explosif télécommandé.</t>
  </si>
  <si>
    <t>Poste de contrôle endommagé</t>
  </si>
  <si>
    <t>TABLEAU DE BORD DÉCISIONNEL ET STRATÉGIQUE - SÉCURITÉ AES / MALI</t>
  </si>
  <si>
    <t>Synthèse des risques, bilans humains/matériels et recommandations décisionnelles (Août - Octobre 2026)</t>
  </si>
  <si>
    <t>TOTAL INCIDENTS REGISTRÉS</t>
  </si>
  <si>
    <t>PERTES HUMAINES GROUPES TERRORISTES</t>
  </si>
  <si>
    <t>VICTIMES CIVILES (MORTS / BLESSÉS)</t>
  </si>
  <si>
    <t>PERTES FAMA / AFRICA CORPS (MORTS)</t>
  </si>
  <si>
    <t>PRISONNIERS / CAPTURES (FAMA)</t>
  </si>
  <si>
    <t>VÉHICULES / AÉRONEFS NEUTRALISÉS</t>
  </si>
  <si>
    <t>1. Répartition Régionale des Incidents et Pertes Associated</t>
  </si>
  <si>
    <t>Région / Secteur</t>
  </si>
  <si>
    <t>Nombre d'Incidents</t>
  </si>
  <si>
    <t>Morts FDS / Allies</t>
  </si>
  <si>
    <t>Morts Civils</t>
  </si>
  <si>
    <t>Niveau de Menace</t>
  </si>
  <si>
    <t>TRÈS ÉLEVÉ (Pression Capitale)</t>
  </si>
  <si>
    <t>CRITIQUE (Bataille Dioura/Sévaré)</t>
  </si>
  <si>
    <t>MODÉRÉ A ÉLEVÉ (Reprise FAMA)</t>
  </si>
  <si>
    <t>ÉLEVÉ (Incursions / Drones FPV)</t>
  </si>
  <si>
    <t>Sikasso / Koulikoro</t>
  </si>
  <si>
    <t>ÉLEVÉ (Infiltration Frontière Sud)</t>
  </si>
  <si>
    <t>Frontière Mali-Burkina (Sahel)</t>
  </si>
  <si>
    <t>EXTRÊME (Guerre JNIM-EIS)</t>
  </si>
  <si>
    <t>2. Cartographie Décisionnelle des Acteurs Armés</t>
  </si>
  <si>
    <t>Acteur Majeur</t>
  </si>
  <si>
    <t>Posture &amp; Tactiques Observées</t>
  </si>
  <si>
    <t>Zones d'Action Prioritaires</t>
  </si>
  <si>
    <t>Recommandation Stratégique AES</t>
  </si>
  <si>
    <t>JNIM (Al-Qaïda)</t>
  </si>
  <si>
    <t>Embuscades lourdes, EEI, tirs mortier sur aéroports, isolement des axes vers Bamako</t>
  </si>
  <si>
    <t>Ségou, Mopti, Koulikoro, Sikasso</t>
  </si>
  <si>
    <t>Reforcer le maillage aérien MALE, sécuriser les convois logistiques et interdire l'accès aux grands axes.</t>
  </si>
  <si>
    <t>Affrontements territoriaux directs à grande échelle contre le JNIM, attaques massives</t>
  </si>
  <si>
    <t>Trois Frontières (Oudalan, Tessit, Ménaka)</t>
  </si>
  <si>
    <t>Maintenir une posture de neutralisation à distance lors des affrontements inter-terroristes et sécuriser les frontières.</t>
  </si>
  <si>
    <t>FLA (Armée Azawad)</t>
  </si>
  <si>
    <t>Utilisation tactique intensive de drones kamikazes FPV et frappes ciblées</t>
  </si>
  <si>
    <t>Kidal, Tombouctou (Adjelhoc, Goundam)</t>
  </si>
  <si>
    <t>Déployer des brouilleurs C-UAS (Anti-drones) sur tous les camps avancés de l'AES.</t>
  </si>
  <si>
    <t>Offensives conjointes, reprise de Kidal, frappes de drones et d'aviation</t>
  </si>
  <si>
    <t>Ensemble du territoire national</t>
  </si>
  <si>
    <t>Améliorer le renseignement de précision (ISR) pour minimiser les dommages collatéraux civils.</t>
  </si>
  <si>
    <t>DICTIONNAIRE DES DONNÉES ET GUIDE D'IMPORTATION OPENSTREETMAP / QGIS</t>
  </si>
  <si>
    <t>Nom du Champ (Variable)</t>
  </si>
  <si>
    <t>Type de Donnée</t>
  </si>
  <si>
    <t>Description &amp; Usage SIG / Décisionnel</t>
  </si>
  <si>
    <t>Exemple de Valeur</t>
  </si>
  <si>
    <t>Texte / Code</t>
  </si>
  <si>
    <t>Identifiant unique de l'incident pour jointure SIG</t>
  </si>
  <si>
    <t>Date (YYYY-MM-DD)</t>
  </si>
  <si>
    <t>Horodatage ISO pour filtrage temporel dans OpenStreetMap/QGIS</t>
  </si>
  <si>
    <t>Texte</t>
  </si>
  <si>
    <t>Pays concerné (Mali, Burkina Faso, Niger)</t>
  </si>
  <si>
    <t>Région administrative ou secteur opérationnel</t>
  </si>
  <si>
    <t>Nom exact du village, de la ville ou du point géographique</t>
  </si>
  <si>
    <t>Décimal (Float)</t>
  </si>
  <si>
    <t>Coordonnée WGS84 (Y) pour géolocalisation directe dans OpenStreetMap</t>
  </si>
  <si>
    <t>14.3500</t>
  </si>
  <si>
    <t>Coordonnée WGS84 (X) pour géolocalisation directe dans OpenStreetMap</t>
  </si>
  <si>
    <t>-3.6167</t>
  </si>
  <si>
    <t>Texte / Catégorie</t>
  </si>
  <si>
    <t>Type d'événement (Attaque, EEI, Embuscade, Drone, etc.)</t>
  </si>
  <si>
    <t>Attaque de Poste</t>
  </si>
  <si>
    <t>Groupe ou force ayant initié l'action</t>
  </si>
  <si>
    <t>Cible principale de l'attaque ou de l'opération</t>
  </si>
  <si>
    <t>Morts_Civils / FDS / Alliés</t>
  </si>
  <si>
    <t>Entier (Integer)</t>
  </si>
  <si>
    <t>Nombres de victimes enregistrées pour analyse statistique dashboard</t>
  </si>
  <si>
    <t>7</t>
  </si>
  <si>
    <t>Vehicules_Aéronefs_Détruits/Saisis</t>
  </si>
  <si>
    <t>Pertes matérielles majeures pour calcul d'impact opérationnel</t>
  </si>
  <si>
    <t>2</t>
  </si>
  <si>
    <t>Origine des rapports et canaux de renseignement</t>
  </si>
  <si>
    <t>AzZalaqa, Sahel Alerte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</si>
</sst>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5"/>
      <color rgb="FF1F4E78"/>
      <name val="Segoe UI"/>
    </font>
    <font>
      <i/>
      <sz val="10"/>
      <color rgb="FF595959"/>
      <name val="Segoe UI"/>
    </font>
    <font>
      <b/>
      <sz val="10"/>
      <color rgb="FFFFFFFF"/>
      <name val="Segoe UI"/>
    </font>
    <font>
      <sz val="9"/>
      <name val="Segoe UI"/>
    </font>
    <font>
      <b/>
      <sz val="9"/>
      <color rgb="FF595959"/>
      <name val="Segoe UI"/>
    </font>
    <font>
      <b/>
      <sz val="16"/>
      <color rgb="FF1F4E78"/>
      <name val="Segoe UI"/>
    </font>
    <font>
      <b/>
      <sz val="16"/>
      <color rgb="FFC00000"/>
      <name val="Segoe UI"/>
    </font>
    <font>
      <b/>
      <sz val="11"/>
      <color rgb="FF1F4E78"/>
      <name val="Segoe UI"/>
    </font>
    <font>
      <b/>
      <sz val="9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8"/>
        <bgColor rgb="FFF2F4F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rgb="FF1F4E7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3" fontId="4" fillId="3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"/>
  <sheetViews>
    <sheetView tabSelected="1" workbookViewId="0"/>
  </sheetViews>
  <sheetFormatPr defaultRowHeight="15" x14ac:dyDescent="0.2"/>
  <cols>
    <col min="1" max="1" width="14.9296875" customWidth="1"/>
    <col min="2" max="2" width="13.046875" customWidth="1"/>
    <col min="3" max="3" width="22.05859375" customWidth="1"/>
    <col min="4" max="4" width="39.953125" customWidth="1"/>
    <col min="5" max="5" width="37.93359375" customWidth="1"/>
    <col min="6" max="6" width="11.02734375" customWidth="1"/>
    <col min="7" max="7" width="11.97265625" customWidth="1"/>
    <col min="8" max="8" width="39.953125" customWidth="1"/>
    <col min="9" max="9" width="36.9921875" customWidth="1"/>
    <col min="10" max="10" width="39.953125" customWidth="1"/>
    <col min="11" max="11" width="14.9296875" customWidth="1"/>
    <col min="12" max="12" width="39.953125" customWidth="1"/>
    <col min="13" max="13" width="14.9296875" customWidth="1"/>
    <col min="14" max="15" width="16.94921875" customWidth="1"/>
    <col min="16" max="16" width="27.0390625" customWidth="1"/>
    <col min="17" max="17" width="22.05859375" customWidth="1"/>
    <col min="18" max="18" width="23" customWidth="1"/>
    <col min="19" max="19" width="29.99609375" customWidth="1"/>
    <col min="20" max="20" width="27.98046875" customWidth="1"/>
    <col min="21" max="23" width="39.953125" customWidth="1"/>
  </cols>
  <sheetData>
    <row r="1" spans="1:23" ht="22.5" x14ac:dyDescent="0.35">
      <c r="A1" s="1" t="s">
        <v>0</v>
      </c>
    </row>
    <row r="2" spans="1:23" x14ac:dyDescent="0.2">
      <c r="A2" s="2" t="s">
        <v>1</v>
      </c>
    </row>
    <row r="4" spans="1:23" ht="27.95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</row>
    <row r="5" spans="1:23" ht="24" customHeight="1" x14ac:dyDescent="0.2">
      <c r="A5" s="4" t="s">
        <v>25</v>
      </c>
      <c r="B5" s="4" t="s">
        <v>26</v>
      </c>
      <c r="C5" s="4" t="s">
        <v>27</v>
      </c>
      <c r="D5" s="5" t="s">
        <v>28</v>
      </c>
      <c r="E5" s="5" t="s">
        <v>29</v>
      </c>
      <c r="F5" s="4">
        <v>14.35</v>
      </c>
      <c r="G5" s="4">
        <v>-3.6166999999999998</v>
      </c>
      <c r="H5" s="5" t="s">
        <v>30</v>
      </c>
      <c r="I5" s="5" t="s">
        <v>31</v>
      </c>
      <c r="J5" s="5" t="s">
        <v>32</v>
      </c>
      <c r="K5" s="5" t="s">
        <v>33</v>
      </c>
      <c r="L5" s="5" t="s">
        <v>34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5" t="s">
        <v>35</v>
      </c>
      <c r="V5" s="5" t="s">
        <v>36</v>
      </c>
      <c r="W5" s="5" t="s">
        <v>37</v>
      </c>
    </row>
    <row r="6" spans="1:23" ht="24" customHeight="1" x14ac:dyDescent="0.2">
      <c r="A6" s="7" t="s">
        <v>38</v>
      </c>
      <c r="B6" s="7" t="s">
        <v>26</v>
      </c>
      <c r="C6" s="7" t="s">
        <v>27</v>
      </c>
      <c r="D6" s="8" t="s">
        <v>39</v>
      </c>
      <c r="E6" s="8" t="s">
        <v>40</v>
      </c>
      <c r="F6" s="7">
        <v>19.4633</v>
      </c>
      <c r="G6" s="7">
        <v>0.85519999999999996</v>
      </c>
      <c r="H6" s="8" t="s">
        <v>41</v>
      </c>
      <c r="I6" s="8" t="s">
        <v>42</v>
      </c>
      <c r="J6" s="8" t="s">
        <v>43</v>
      </c>
      <c r="K6" s="8" t="s">
        <v>33</v>
      </c>
      <c r="L6" s="8" t="s">
        <v>44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8" t="s">
        <v>35</v>
      </c>
      <c r="V6" s="8" t="s">
        <v>45</v>
      </c>
      <c r="W6" s="8" t="s">
        <v>46</v>
      </c>
    </row>
    <row r="7" spans="1:23" ht="24" customHeight="1" x14ac:dyDescent="0.2">
      <c r="A7" s="4" t="s">
        <v>47</v>
      </c>
      <c r="B7" s="4" t="s">
        <v>48</v>
      </c>
      <c r="C7" s="4" t="s">
        <v>49</v>
      </c>
      <c r="D7" s="5" t="s">
        <v>50</v>
      </c>
      <c r="E7" s="5" t="s">
        <v>51</v>
      </c>
      <c r="F7" s="4">
        <v>15.283300000000001</v>
      </c>
      <c r="G7" s="4">
        <v>-1.1833</v>
      </c>
      <c r="H7" s="5" t="s">
        <v>52</v>
      </c>
      <c r="I7" s="5" t="s">
        <v>53</v>
      </c>
      <c r="J7" s="5" t="s">
        <v>31</v>
      </c>
      <c r="K7" s="5" t="s">
        <v>33</v>
      </c>
      <c r="L7" s="5" t="s">
        <v>54</v>
      </c>
      <c r="M7" s="6">
        <v>0</v>
      </c>
      <c r="N7" s="6">
        <v>0</v>
      </c>
      <c r="O7" s="6">
        <v>0</v>
      </c>
      <c r="P7" s="6">
        <v>0</v>
      </c>
      <c r="Q7" s="6">
        <v>200</v>
      </c>
      <c r="R7" s="6">
        <v>30</v>
      </c>
      <c r="S7" s="6">
        <v>100</v>
      </c>
      <c r="T7" s="6">
        <v>204</v>
      </c>
      <c r="U7" s="5" t="s">
        <v>55</v>
      </c>
      <c r="V7" s="5" t="s">
        <v>56</v>
      </c>
      <c r="W7" s="5" t="s">
        <v>57</v>
      </c>
    </row>
    <row r="8" spans="1:23" ht="24" customHeight="1" x14ac:dyDescent="0.2">
      <c r="A8" s="7" t="s">
        <v>58</v>
      </c>
      <c r="B8" s="7" t="s">
        <v>59</v>
      </c>
      <c r="C8" s="7" t="s">
        <v>27</v>
      </c>
      <c r="D8" s="8" t="s">
        <v>60</v>
      </c>
      <c r="E8" s="8" t="s">
        <v>61</v>
      </c>
      <c r="F8" s="7">
        <v>13.35</v>
      </c>
      <c r="G8" s="7">
        <v>-6.3</v>
      </c>
      <c r="H8" s="8" t="s">
        <v>62</v>
      </c>
      <c r="I8" s="8" t="s">
        <v>31</v>
      </c>
      <c r="J8" s="8" t="s">
        <v>63</v>
      </c>
      <c r="K8" s="8" t="s">
        <v>33</v>
      </c>
      <c r="L8" s="8" t="s">
        <v>64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3</v>
      </c>
      <c r="T8" s="9">
        <v>0</v>
      </c>
      <c r="U8" s="8" t="s">
        <v>33</v>
      </c>
      <c r="V8" s="8" t="s">
        <v>65</v>
      </c>
      <c r="W8" s="8" t="s">
        <v>66</v>
      </c>
    </row>
    <row r="9" spans="1:23" ht="24" customHeight="1" x14ac:dyDescent="0.2">
      <c r="A9" s="4" t="s">
        <v>67</v>
      </c>
      <c r="B9" s="4" t="s">
        <v>68</v>
      </c>
      <c r="C9" s="4" t="s">
        <v>27</v>
      </c>
      <c r="D9" s="5" t="s">
        <v>39</v>
      </c>
      <c r="E9" s="5" t="s">
        <v>69</v>
      </c>
      <c r="F9" s="4">
        <v>18.441099999999999</v>
      </c>
      <c r="G9" s="4">
        <v>1.4077999999999999</v>
      </c>
      <c r="H9" s="5" t="s">
        <v>70</v>
      </c>
      <c r="I9" s="5" t="s">
        <v>71</v>
      </c>
      <c r="J9" s="5" t="s">
        <v>72</v>
      </c>
      <c r="K9" s="5" t="s">
        <v>73</v>
      </c>
      <c r="L9" s="5" t="s">
        <v>74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5" t="s">
        <v>33</v>
      </c>
      <c r="V9" s="5" t="s">
        <v>75</v>
      </c>
      <c r="W9" s="5" t="s">
        <v>76</v>
      </c>
    </row>
    <row r="10" spans="1:23" ht="24" customHeight="1" x14ac:dyDescent="0.2">
      <c r="A10" s="7" t="s">
        <v>77</v>
      </c>
      <c r="B10" s="7" t="s">
        <v>78</v>
      </c>
      <c r="C10" s="7" t="s">
        <v>27</v>
      </c>
      <c r="D10" s="8" t="s">
        <v>79</v>
      </c>
      <c r="E10" s="8" t="s">
        <v>80</v>
      </c>
      <c r="F10" s="7">
        <v>14.8</v>
      </c>
      <c r="G10" s="7">
        <v>-3.8</v>
      </c>
      <c r="H10" s="8" t="s">
        <v>81</v>
      </c>
      <c r="I10" s="8" t="s">
        <v>31</v>
      </c>
      <c r="J10" s="8" t="s">
        <v>43</v>
      </c>
      <c r="K10" s="8" t="s">
        <v>33</v>
      </c>
      <c r="L10" s="8" t="s">
        <v>82</v>
      </c>
      <c r="M10" s="9">
        <v>0</v>
      </c>
      <c r="N10" s="9">
        <v>0</v>
      </c>
      <c r="O10" s="9">
        <v>0</v>
      </c>
      <c r="P10" s="9">
        <v>4</v>
      </c>
      <c r="Q10" s="9">
        <v>0</v>
      </c>
      <c r="R10" s="9">
        <v>0</v>
      </c>
      <c r="S10" s="9">
        <v>0</v>
      </c>
      <c r="T10" s="9">
        <v>0</v>
      </c>
      <c r="U10" s="8" t="s">
        <v>35</v>
      </c>
      <c r="V10" s="8" t="s">
        <v>83</v>
      </c>
      <c r="W10" s="8" t="s">
        <v>84</v>
      </c>
    </row>
    <row r="11" spans="1:23" ht="24" customHeight="1" x14ac:dyDescent="0.2">
      <c r="A11" s="4" t="s">
        <v>85</v>
      </c>
      <c r="B11" s="4" t="s">
        <v>86</v>
      </c>
      <c r="C11" s="4" t="s">
        <v>27</v>
      </c>
      <c r="D11" s="5" t="s">
        <v>79</v>
      </c>
      <c r="E11" s="5" t="s">
        <v>87</v>
      </c>
      <c r="F11" s="4">
        <v>14.533300000000001</v>
      </c>
      <c r="G11" s="4">
        <v>-5.2167000000000003</v>
      </c>
      <c r="H11" s="5" t="s">
        <v>88</v>
      </c>
      <c r="I11" s="5" t="s">
        <v>89</v>
      </c>
      <c r="J11" s="5" t="s">
        <v>90</v>
      </c>
      <c r="K11" s="5" t="s">
        <v>33</v>
      </c>
      <c r="L11" s="5" t="s">
        <v>91</v>
      </c>
      <c r="M11" s="6">
        <v>0</v>
      </c>
      <c r="N11" s="6">
        <v>0</v>
      </c>
      <c r="O11" s="6">
        <v>150</v>
      </c>
      <c r="P11" s="6">
        <v>0</v>
      </c>
      <c r="Q11" s="6">
        <v>0</v>
      </c>
      <c r="R11" s="6">
        <v>93</v>
      </c>
      <c r="S11" s="6">
        <v>115</v>
      </c>
      <c r="T11" s="6">
        <v>16</v>
      </c>
      <c r="U11" s="5" t="s">
        <v>92</v>
      </c>
      <c r="V11" s="5" t="s">
        <v>93</v>
      </c>
      <c r="W11" s="5" t="s">
        <v>94</v>
      </c>
    </row>
    <row r="12" spans="1:23" ht="24" customHeight="1" x14ac:dyDescent="0.2">
      <c r="A12" s="7" t="s">
        <v>95</v>
      </c>
      <c r="B12" s="7" t="s">
        <v>96</v>
      </c>
      <c r="C12" s="7" t="s">
        <v>27</v>
      </c>
      <c r="D12" s="8" t="s">
        <v>97</v>
      </c>
      <c r="E12" s="8" t="s">
        <v>98</v>
      </c>
      <c r="F12" s="7">
        <v>14.4833</v>
      </c>
      <c r="G12" s="7">
        <v>-7.4667000000000003</v>
      </c>
      <c r="H12" s="8" t="s">
        <v>99</v>
      </c>
      <c r="I12" s="8" t="s">
        <v>31</v>
      </c>
      <c r="J12" s="8" t="s">
        <v>43</v>
      </c>
      <c r="K12" s="8" t="s">
        <v>33</v>
      </c>
      <c r="L12" s="8" t="s">
        <v>100</v>
      </c>
      <c r="M12" s="9">
        <v>0</v>
      </c>
      <c r="N12" s="9">
        <v>0</v>
      </c>
      <c r="O12" s="9">
        <v>2</v>
      </c>
      <c r="P12" s="9">
        <v>2</v>
      </c>
      <c r="Q12" s="9">
        <v>0</v>
      </c>
      <c r="R12" s="9">
        <v>0</v>
      </c>
      <c r="S12" s="9">
        <v>1</v>
      </c>
      <c r="T12" s="9">
        <v>0</v>
      </c>
      <c r="U12" s="8" t="s">
        <v>33</v>
      </c>
      <c r="V12" s="8" t="s">
        <v>101</v>
      </c>
      <c r="W12" s="8" t="s">
        <v>84</v>
      </c>
    </row>
    <row r="13" spans="1:23" ht="24" customHeight="1" x14ac:dyDescent="0.2">
      <c r="A13" s="4" t="s">
        <v>102</v>
      </c>
      <c r="B13" s="4" t="s">
        <v>103</v>
      </c>
      <c r="C13" s="4" t="s">
        <v>27</v>
      </c>
      <c r="D13" s="5" t="s">
        <v>79</v>
      </c>
      <c r="E13" s="5" t="s">
        <v>104</v>
      </c>
      <c r="F13" s="4">
        <v>14.513299999999999</v>
      </c>
      <c r="G13" s="4">
        <v>-4.1032999999999999</v>
      </c>
      <c r="H13" s="5" t="s">
        <v>105</v>
      </c>
      <c r="I13" s="5" t="s">
        <v>31</v>
      </c>
      <c r="J13" s="5" t="s">
        <v>106</v>
      </c>
      <c r="K13" s="5" t="s">
        <v>33</v>
      </c>
      <c r="L13" s="5" t="s">
        <v>107</v>
      </c>
      <c r="M13" s="6">
        <v>0</v>
      </c>
      <c r="N13" s="6">
        <v>0</v>
      </c>
      <c r="O13" s="6">
        <v>15</v>
      </c>
      <c r="P13" s="6">
        <v>18</v>
      </c>
      <c r="Q13" s="6">
        <v>0</v>
      </c>
      <c r="R13" s="6">
        <v>0</v>
      </c>
      <c r="S13" s="6">
        <v>6</v>
      </c>
      <c r="T13" s="6">
        <v>0</v>
      </c>
      <c r="U13" s="5" t="s">
        <v>33</v>
      </c>
      <c r="V13" s="5" t="s">
        <v>108</v>
      </c>
      <c r="W13" s="5" t="s">
        <v>94</v>
      </c>
    </row>
    <row r="14" spans="1:23" ht="24" customHeight="1" x14ac:dyDescent="0.2">
      <c r="A14" s="7" t="s">
        <v>109</v>
      </c>
      <c r="B14" s="7" t="s">
        <v>110</v>
      </c>
      <c r="C14" s="7" t="s">
        <v>27</v>
      </c>
      <c r="D14" s="8" t="s">
        <v>111</v>
      </c>
      <c r="E14" s="8" t="s">
        <v>112</v>
      </c>
      <c r="F14" s="7">
        <v>14.45</v>
      </c>
      <c r="G14" s="7">
        <v>-4.9166999999999996</v>
      </c>
      <c r="H14" s="8" t="s">
        <v>113</v>
      </c>
      <c r="I14" s="8" t="s">
        <v>114</v>
      </c>
      <c r="J14" s="8" t="s">
        <v>115</v>
      </c>
      <c r="K14" s="8" t="s">
        <v>73</v>
      </c>
      <c r="L14" s="8" t="s">
        <v>116</v>
      </c>
      <c r="M14" s="9">
        <v>7</v>
      </c>
      <c r="N14" s="9">
        <v>8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8" t="s">
        <v>33</v>
      </c>
      <c r="V14" s="8" t="s">
        <v>117</v>
      </c>
      <c r="W14" s="8" t="s">
        <v>118</v>
      </c>
    </row>
    <row r="15" spans="1:23" ht="24" customHeight="1" x14ac:dyDescent="0.2">
      <c r="A15" s="4" t="s">
        <v>119</v>
      </c>
      <c r="B15" s="4" t="s">
        <v>120</v>
      </c>
      <c r="C15" s="4" t="s">
        <v>27</v>
      </c>
      <c r="D15" s="5" t="s">
        <v>97</v>
      </c>
      <c r="E15" s="5" t="s">
        <v>121</v>
      </c>
      <c r="F15" s="4">
        <v>12.583299999999999</v>
      </c>
      <c r="G15" s="4">
        <v>-7.7167000000000003</v>
      </c>
      <c r="H15" s="5" t="s">
        <v>122</v>
      </c>
      <c r="I15" s="5" t="s">
        <v>31</v>
      </c>
      <c r="J15" s="5" t="s">
        <v>123</v>
      </c>
      <c r="K15" s="5" t="s">
        <v>33</v>
      </c>
      <c r="L15" s="5" t="s">
        <v>124</v>
      </c>
      <c r="M15" s="6">
        <v>0</v>
      </c>
      <c r="N15" s="6">
        <v>0</v>
      </c>
      <c r="O15" s="6">
        <v>3</v>
      </c>
      <c r="P15" s="6">
        <v>0</v>
      </c>
      <c r="Q15" s="6">
        <v>0</v>
      </c>
      <c r="R15" s="6">
        <v>0</v>
      </c>
      <c r="S15" s="6">
        <v>1</v>
      </c>
      <c r="T15" s="6">
        <v>0</v>
      </c>
      <c r="U15" s="5" t="s">
        <v>125</v>
      </c>
      <c r="V15" s="5" t="s">
        <v>126</v>
      </c>
      <c r="W15" s="5" t="s">
        <v>127</v>
      </c>
    </row>
    <row r="16" spans="1:23" ht="24" customHeight="1" x14ac:dyDescent="0.2">
      <c r="A16" s="7" t="s">
        <v>128</v>
      </c>
      <c r="B16" s="7" t="s">
        <v>129</v>
      </c>
      <c r="C16" s="7" t="s">
        <v>27</v>
      </c>
      <c r="D16" s="8" t="s">
        <v>60</v>
      </c>
      <c r="E16" s="8" t="s">
        <v>130</v>
      </c>
      <c r="F16" s="7">
        <v>12.95</v>
      </c>
      <c r="G16" s="7">
        <v>-5.75</v>
      </c>
      <c r="H16" s="8" t="s">
        <v>131</v>
      </c>
      <c r="I16" s="8" t="s">
        <v>31</v>
      </c>
      <c r="J16" s="8" t="s">
        <v>132</v>
      </c>
      <c r="K16" s="8" t="s">
        <v>73</v>
      </c>
      <c r="L16" s="8" t="s">
        <v>133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8" t="s">
        <v>35</v>
      </c>
      <c r="V16" s="8" t="s">
        <v>134</v>
      </c>
      <c r="W16" s="8" t="s">
        <v>84</v>
      </c>
    </row>
    <row r="17" spans="1:23" ht="24" customHeight="1" x14ac:dyDescent="0.2">
      <c r="A17" s="4" t="s">
        <v>135</v>
      </c>
      <c r="B17" s="4" t="s">
        <v>136</v>
      </c>
      <c r="C17" s="4" t="s">
        <v>27</v>
      </c>
      <c r="D17" s="5" t="s">
        <v>137</v>
      </c>
      <c r="E17" s="5" t="s">
        <v>138</v>
      </c>
      <c r="F17" s="4">
        <v>14.683299999999999</v>
      </c>
      <c r="G17" s="4">
        <v>-6.0167000000000002</v>
      </c>
      <c r="H17" s="5" t="s">
        <v>139</v>
      </c>
      <c r="I17" s="5" t="s">
        <v>31</v>
      </c>
      <c r="J17" s="5" t="s">
        <v>43</v>
      </c>
      <c r="K17" s="5" t="s">
        <v>33</v>
      </c>
      <c r="L17" s="5" t="s">
        <v>140</v>
      </c>
      <c r="M17" s="6">
        <v>0</v>
      </c>
      <c r="N17" s="6">
        <v>0</v>
      </c>
      <c r="O17" s="6">
        <v>0</v>
      </c>
      <c r="P17" s="6">
        <v>2</v>
      </c>
      <c r="Q17" s="6">
        <v>0</v>
      </c>
      <c r="R17" s="6">
        <v>0</v>
      </c>
      <c r="S17" s="6">
        <v>0</v>
      </c>
      <c r="T17" s="6">
        <v>3</v>
      </c>
      <c r="U17" s="5" t="s">
        <v>141</v>
      </c>
      <c r="V17" s="5" t="s">
        <v>142</v>
      </c>
      <c r="W17" s="5" t="s">
        <v>143</v>
      </c>
    </row>
    <row r="18" spans="1:23" ht="24" customHeight="1" x14ac:dyDescent="0.2">
      <c r="A18" s="7" t="s">
        <v>144</v>
      </c>
      <c r="B18" s="7" t="s">
        <v>145</v>
      </c>
      <c r="C18" s="7" t="s">
        <v>27</v>
      </c>
      <c r="D18" s="8" t="s">
        <v>79</v>
      </c>
      <c r="E18" s="8" t="s">
        <v>146</v>
      </c>
      <c r="F18" s="7">
        <v>13.9</v>
      </c>
      <c r="G18" s="7">
        <v>-4.55</v>
      </c>
      <c r="H18" s="8" t="s">
        <v>147</v>
      </c>
      <c r="I18" s="8" t="s">
        <v>31</v>
      </c>
      <c r="J18" s="8" t="s">
        <v>148</v>
      </c>
      <c r="K18" s="8" t="s">
        <v>33</v>
      </c>
      <c r="L18" s="8" t="s">
        <v>149</v>
      </c>
      <c r="M18" s="9">
        <v>0</v>
      </c>
      <c r="N18" s="9">
        <v>0</v>
      </c>
      <c r="O18" s="9">
        <v>2</v>
      </c>
      <c r="P18" s="9">
        <v>0</v>
      </c>
      <c r="Q18" s="9">
        <v>0</v>
      </c>
      <c r="R18" s="9">
        <v>0</v>
      </c>
      <c r="S18" s="9">
        <v>2</v>
      </c>
      <c r="T18" s="9">
        <v>5</v>
      </c>
      <c r="U18" s="8" t="s">
        <v>150</v>
      </c>
      <c r="V18" s="8" t="s">
        <v>151</v>
      </c>
      <c r="W18" s="8" t="s">
        <v>152</v>
      </c>
    </row>
    <row r="19" spans="1:23" ht="24" customHeight="1" x14ac:dyDescent="0.2">
      <c r="A19" s="4" t="s">
        <v>153</v>
      </c>
      <c r="B19" s="4" t="s">
        <v>145</v>
      </c>
      <c r="C19" s="4" t="s">
        <v>27</v>
      </c>
      <c r="D19" s="5" t="s">
        <v>79</v>
      </c>
      <c r="E19" s="5" t="s">
        <v>154</v>
      </c>
      <c r="F19" s="4">
        <v>15</v>
      </c>
      <c r="G19" s="4">
        <v>-2.95</v>
      </c>
      <c r="H19" s="5" t="s">
        <v>155</v>
      </c>
      <c r="I19" s="5" t="s">
        <v>156</v>
      </c>
      <c r="J19" s="5" t="s">
        <v>157</v>
      </c>
      <c r="K19" s="5" t="s">
        <v>73</v>
      </c>
      <c r="L19" s="5" t="s">
        <v>158</v>
      </c>
      <c r="M19" s="6">
        <v>0</v>
      </c>
      <c r="N19" s="6">
        <v>2</v>
      </c>
      <c r="O19" s="6">
        <v>0</v>
      </c>
      <c r="P19" s="6">
        <v>0</v>
      </c>
      <c r="Q19" s="6">
        <v>1</v>
      </c>
      <c r="R19" s="6">
        <v>0</v>
      </c>
      <c r="S19" s="6">
        <v>0</v>
      </c>
      <c r="T19" s="6">
        <v>0</v>
      </c>
      <c r="U19" s="5" t="s">
        <v>33</v>
      </c>
      <c r="V19" s="5" t="s">
        <v>159</v>
      </c>
      <c r="W19" s="5" t="s">
        <v>84</v>
      </c>
    </row>
    <row r="20" spans="1:23" ht="24" customHeight="1" x14ac:dyDescent="0.2">
      <c r="A20" s="7" t="s">
        <v>160</v>
      </c>
      <c r="B20" s="7" t="s">
        <v>161</v>
      </c>
      <c r="C20" s="7" t="s">
        <v>27</v>
      </c>
      <c r="D20" s="8" t="s">
        <v>39</v>
      </c>
      <c r="E20" s="8" t="s">
        <v>162</v>
      </c>
      <c r="F20" s="7">
        <v>19.4633</v>
      </c>
      <c r="G20" s="7">
        <v>0.85519999999999996</v>
      </c>
      <c r="H20" s="8" t="s">
        <v>163</v>
      </c>
      <c r="I20" s="8" t="s">
        <v>164</v>
      </c>
      <c r="J20" s="8" t="s">
        <v>165</v>
      </c>
      <c r="K20" s="8" t="s">
        <v>33</v>
      </c>
      <c r="L20" s="8" t="s">
        <v>166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1</v>
      </c>
      <c r="T20" s="9">
        <v>0</v>
      </c>
      <c r="U20" s="8" t="s">
        <v>167</v>
      </c>
      <c r="V20" s="8" t="s">
        <v>168</v>
      </c>
      <c r="W20" s="8" t="s">
        <v>84</v>
      </c>
    </row>
    <row r="21" spans="1:23" ht="24" customHeight="1" x14ac:dyDescent="0.2">
      <c r="A21" s="4" t="s">
        <v>169</v>
      </c>
      <c r="B21" s="4" t="s">
        <v>170</v>
      </c>
      <c r="C21" s="4" t="s">
        <v>27</v>
      </c>
      <c r="D21" s="5" t="s">
        <v>60</v>
      </c>
      <c r="E21" s="5" t="s">
        <v>171</v>
      </c>
      <c r="F21" s="4">
        <v>14.25</v>
      </c>
      <c r="G21" s="4">
        <v>-5.9832999999999998</v>
      </c>
      <c r="H21" s="5" t="s">
        <v>172</v>
      </c>
      <c r="I21" s="5" t="s">
        <v>31</v>
      </c>
      <c r="J21" s="5" t="s">
        <v>43</v>
      </c>
      <c r="K21" s="5" t="s">
        <v>33</v>
      </c>
      <c r="L21" s="5" t="s">
        <v>173</v>
      </c>
      <c r="M21" s="6">
        <v>0</v>
      </c>
      <c r="N21" s="6">
        <v>0</v>
      </c>
      <c r="O21" s="6">
        <v>0</v>
      </c>
      <c r="P21" s="6">
        <v>7</v>
      </c>
      <c r="Q21" s="6">
        <v>0</v>
      </c>
      <c r="R21" s="6">
        <v>0</v>
      </c>
      <c r="S21" s="6">
        <v>2</v>
      </c>
      <c r="T21" s="6">
        <v>1</v>
      </c>
      <c r="U21" s="5" t="s">
        <v>174</v>
      </c>
      <c r="V21" s="5" t="s">
        <v>175</v>
      </c>
      <c r="W21" s="5" t="s">
        <v>176</v>
      </c>
    </row>
    <row r="22" spans="1:23" ht="24" customHeight="1" x14ac:dyDescent="0.2">
      <c r="A22" s="7" t="s">
        <v>177</v>
      </c>
      <c r="B22" s="7" t="s">
        <v>178</v>
      </c>
      <c r="C22" s="7" t="s">
        <v>27</v>
      </c>
      <c r="D22" s="8" t="s">
        <v>179</v>
      </c>
      <c r="E22" s="8" t="s">
        <v>180</v>
      </c>
      <c r="F22" s="7">
        <v>14.38</v>
      </c>
      <c r="G22" s="7">
        <v>-5.6</v>
      </c>
      <c r="H22" s="8" t="s">
        <v>81</v>
      </c>
      <c r="I22" s="8" t="s">
        <v>31</v>
      </c>
      <c r="J22" s="8" t="s">
        <v>43</v>
      </c>
      <c r="K22" s="8" t="s">
        <v>33</v>
      </c>
      <c r="L22" s="8" t="s">
        <v>181</v>
      </c>
      <c r="M22" s="9">
        <v>0</v>
      </c>
      <c r="N22" s="9">
        <v>0</v>
      </c>
      <c r="O22" s="9">
        <v>3</v>
      </c>
      <c r="P22" s="9">
        <v>3</v>
      </c>
      <c r="Q22" s="9">
        <v>0</v>
      </c>
      <c r="R22" s="9">
        <v>0</v>
      </c>
      <c r="S22" s="9">
        <v>1</v>
      </c>
      <c r="T22" s="9">
        <v>0</v>
      </c>
      <c r="U22" s="8" t="s">
        <v>182</v>
      </c>
      <c r="V22" s="8" t="s">
        <v>183</v>
      </c>
      <c r="W22" s="8" t="s">
        <v>184</v>
      </c>
    </row>
    <row r="23" spans="1:23" ht="24" customHeight="1" x14ac:dyDescent="0.2">
      <c r="A23" s="4" t="s">
        <v>185</v>
      </c>
      <c r="B23" s="4" t="s">
        <v>178</v>
      </c>
      <c r="C23" s="4" t="s">
        <v>27</v>
      </c>
      <c r="D23" s="5" t="s">
        <v>186</v>
      </c>
      <c r="E23" s="5" t="s">
        <v>187</v>
      </c>
      <c r="F23" s="4">
        <v>15.65</v>
      </c>
      <c r="G23" s="4">
        <v>0.5</v>
      </c>
      <c r="H23" s="5" t="s">
        <v>188</v>
      </c>
      <c r="I23" s="5" t="s">
        <v>53</v>
      </c>
      <c r="J23" s="5" t="s">
        <v>189</v>
      </c>
      <c r="K23" s="5" t="s">
        <v>33</v>
      </c>
      <c r="L23" s="5" t="s">
        <v>190</v>
      </c>
      <c r="M23" s="6">
        <v>0</v>
      </c>
      <c r="N23" s="6">
        <v>0</v>
      </c>
      <c r="O23" s="6">
        <v>4</v>
      </c>
      <c r="P23" s="6">
        <v>0</v>
      </c>
      <c r="Q23" s="6">
        <v>12</v>
      </c>
      <c r="R23" s="6">
        <v>0</v>
      </c>
      <c r="S23" s="6">
        <v>1</v>
      </c>
      <c r="T23" s="6">
        <v>0</v>
      </c>
      <c r="U23" s="5" t="s">
        <v>35</v>
      </c>
      <c r="V23" s="5" t="s">
        <v>191</v>
      </c>
      <c r="W23" s="5" t="s">
        <v>192</v>
      </c>
    </row>
    <row r="24" spans="1:23" ht="24" customHeight="1" x14ac:dyDescent="0.2">
      <c r="A24" s="7" t="s">
        <v>193</v>
      </c>
      <c r="B24" s="7" t="s">
        <v>194</v>
      </c>
      <c r="C24" s="7" t="s">
        <v>27</v>
      </c>
      <c r="D24" s="8" t="s">
        <v>195</v>
      </c>
      <c r="E24" s="8" t="s">
        <v>196</v>
      </c>
      <c r="F24" s="7">
        <v>16.416699999999999</v>
      </c>
      <c r="G24" s="7">
        <v>-3.6667000000000001</v>
      </c>
      <c r="H24" s="8" t="s">
        <v>197</v>
      </c>
      <c r="I24" s="8" t="s">
        <v>42</v>
      </c>
      <c r="J24" s="8" t="s">
        <v>43</v>
      </c>
      <c r="K24" s="8" t="s">
        <v>33</v>
      </c>
      <c r="L24" s="8" t="s">
        <v>198</v>
      </c>
      <c r="M24" s="9">
        <v>0</v>
      </c>
      <c r="N24" s="9">
        <v>0</v>
      </c>
      <c r="O24" s="9">
        <v>2</v>
      </c>
      <c r="P24" s="9">
        <v>3</v>
      </c>
      <c r="Q24" s="9">
        <v>0</v>
      </c>
      <c r="R24" s="9">
        <v>0</v>
      </c>
      <c r="S24" s="9">
        <v>1</v>
      </c>
      <c r="T24" s="9">
        <v>0</v>
      </c>
      <c r="U24" s="8" t="s">
        <v>33</v>
      </c>
      <c r="V24" s="8" t="s">
        <v>199</v>
      </c>
      <c r="W24" s="8" t="s">
        <v>46</v>
      </c>
    </row>
    <row r="25" spans="1:23" ht="24" customHeight="1" x14ac:dyDescent="0.2">
      <c r="A25" s="4" t="s">
        <v>200</v>
      </c>
      <c r="B25" s="4" t="s">
        <v>201</v>
      </c>
      <c r="C25" s="4" t="s">
        <v>27</v>
      </c>
      <c r="D25" s="5" t="s">
        <v>202</v>
      </c>
      <c r="E25" s="5" t="s">
        <v>203</v>
      </c>
      <c r="F25" s="4">
        <v>12.3833</v>
      </c>
      <c r="G25" s="4">
        <v>-5.4667000000000003</v>
      </c>
      <c r="H25" s="5" t="s">
        <v>204</v>
      </c>
      <c r="I25" s="5" t="s">
        <v>205</v>
      </c>
      <c r="J25" s="5" t="s">
        <v>206</v>
      </c>
      <c r="K25" s="5" t="s">
        <v>73</v>
      </c>
      <c r="L25" s="5" t="s">
        <v>207</v>
      </c>
      <c r="M25" s="6">
        <v>3</v>
      </c>
      <c r="N25" s="6">
        <v>1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5" t="s">
        <v>33</v>
      </c>
      <c r="V25" s="5" t="s">
        <v>208</v>
      </c>
      <c r="W25" s="5" t="s">
        <v>209</v>
      </c>
    </row>
    <row r="26" spans="1:23" ht="24" customHeight="1" x14ac:dyDescent="0.2">
      <c r="A26" s="7" t="s">
        <v>210</v>
      </c>
      <c r="B26" s="7" t="s">
        <v>211</v>
      </c>
      <c r="C26" s="7" t="s">
        <v>27</v>
      </c>
      <c r="D26" s="8" t="s">
        <v>212</v>
      </c>
      <c r="E26" s="8" t="s">
        <v>213</v>
      </c>
      <c r="F26" s="7">
        <v>19.9833</v>
      </c>
      <c r="G26" s="7">
        <v>0.58330000000000004</v>
      </c>
      <c r="H26" s="8" t="s">
        <v>214</v>
      </c>
      <c r="I26" s="8" t="s">
        <v>215</v>
      </c>
      <c r="J26" s="8" t="s">
        <v>216</v>
      </c>
      <c r="K26" s="8" t="s">
        <v>73</v>
      </c>
      <c r="L26" s="8" t="s">
        <v>217</v>
      </c>
      <c r="M26" s="9">
        <v>0</v>
      </c>
      <c r="N26" s="9">
        <v>0</v>
      </c>
      <c r="O26" s="9">
        <v>0</v>
      </c>
      <c r="P26" s="9">
        <v>0</v>
      </c>
      <c r="Q26" s="9">
        <v>15</v>
      </c>
      <c r="R26" s="9">
        <v>0</v>
      </c>
      <c r="S26" s="9">
        <v>3</v>
      </c>
      <c r="T26" s="9">
        <v>0</v>
      </c>
      <c r="U26" s="8" t="s">
        <v>33</v>
      </c>
      <c r="V26" s="8" t="s">
        <v>218</v>
      </c>
      <c r="W26" s="8" t="s">
        <v>219</v>
      </c>
    </row>
    <row r="27" spans="1:23" ht="24" customHeight="1" x14ac:dyDescent="0.2">
      <c r="A27" s="4" t="s">
        <v>220</v>
      </c>
      <c r="B27" s="4" t="s">
        <v>221</v>
      </c>
      <c r="C27" s="4" t="s">
        <v>27</v>
      </c>
      <c r="D27" s="5" t="s">
        <v>222</v>
      </c>
      <c r="E27" s="5" t="s">
        <v>223</v>
      </c>
      <c r="F27" s="4">
        <v>11.35</v>
      </c>
      <c r="G27" s="4">
        <v>-5.8167</v>
      </c>
      <c r="H27" s="5" t="s">
        <v>224</v>
      </c>
      <c r="I27" s="5" t="s">
        <v>31</v>
      </c>
      <c r="J27" s="5" t="s">
        <v>225</v>
      </c>
      <c r="K27" s="5" t="s">
        <v>33</v>
      </c>
      <c r="L27" s="5" t="s">
        <v>226</v>
      </c>
      <c r="M27" s="6">
        <v>0</v>
      </c>
      <c r="N27" s="6">
        <v>0</v>
      </c>
      <c r="O27" s="6">
        <v>2</v>
      </c>
      <c r="P27" s="6">
        <v>0</v>
      </c>
      <c r="Q27" s="6">
        <v>0</v>
      </c>
      <c r="R27" s="6">
        <v>0</v>
      </c>
      <c r="S27" s="6">
        <v>1</v>
      </c>
      <c r="T27" s="6">
        <v>1</v>
      </c>
      <c r="U27" s="5" t="s">
        <v>227</v>
      </c>
      <c r="V27" s="5" t="s">
        <v>228</v>
      </c>
      <c r="W27" s="5" t="s">
        <v>229</v>
      </c>
    </row>
    <row r="28" spans="1:23" ht="24" customHeight="1" x14ac:dyDescent="0.2">
      <c r="A28" s="7" t="s">
        <v>230</v>
      </c>
      <c r="B28" s="7" t="s">
        <v>231</v>
      </c>
      <c r="C28" s="7" t="s">
        <v>27</v>
      </c>
      <c r="D28" s="8" t="s">
        <v>195</v>
      </c>
      <c r="E28" s="8" t="s">
        <v>232</v>
      </c>
      <c r="F28" s="7">
        <v>16.2</v>
      </c>
      <c r="G28" s="7">
        <v>-3.2</v>
      </c>
      <c r="H28" s="8" t="s">
        <v>99</v>
      </c>
      <c r="I28" s="8" t="s">
        <v>31</v>
      </c>
      <c r="J28" s="8" t="s">
        <v>43</v>
      </c>
      <c r="K28" s="8" t="s">
        <v>33</v>
      </c>
      <c r="L28" s="8" t="s">
        <v>233</v>
      </c>
      <c r="M28" s="9">
        <v>0</v>
      </c>
      <c r="N28" s="9">
        <v>0</v>
      </c>
      <c r="O28" s="9">
        <v>3</v>
      </c>
      <c r="P28" s="9">
        <v>4</v>
      </c>
      <c r="Q28" s="9">
        <v>0</v>
      </c>
      <c r="R28" s="9">
        <v>0</v>
      </c>
      <c r="S28" s="9">
        <v>1</v>
      </c>
      <c r="T28" s="9">
        <v>0</v>
      </c>
      <c r="U28" s="8" t="s">
        <v>33</v>
      </c>
      <c r="V28" s="8" t="s">
        <v>234</v>
      </c>
      <c r="W28" s="8" t="s">
        <v>229</v>
      </c>
    </row>
    <row r="29" spans="1:23" ht="24" customHeight="1" x14ac:dyDescent="0.2">
      <c r="A29" s="4" t="s">
        <v>235</v>
      </c>
      <c r="B29" s="4" t="s">
        <v>236</v>
      </c>
      <c r="C29" s="4" t="s">
        <v>237</v>
      </c>
      <c r="D29" s="5" t="s">
        <v>238</v>
      </c>
      <c r="E29" s="5" t="s">
        <v>239</v>
      </c>
      <c r="F29" s="4">
        <v>14.8</v>
      </c>
      <c r="G29" s="4">
        <v>-0.25</v>
      </c>
      <c r="H29" s="5" t="s">
        <v>240</v>
      </c>
      <c r="I29" s="5" t="s">
        <v>241</v>
      </c>
      <c r="J29" s="5" t="s">
        <v>242</v>
      </c>
      <c r="K29" s="5" t="s">
        <v>33</v>
      </c>
      <c r="L29" s="5" t="s">
        <v>243</v>
      </c>
      <c r="M29" s="6">
        <v>0</v>
      </c>
      <c r="N29" s="6">
        <v>0</v>
      </c>
      <c r="O29" s="6">
        <v>0</v>
      </c>
      <c r="P29" s="6">
        <v>0</v>
      </c>
      <c r="Q29" s="6">
        <v>400</v>
      </c>
      <c r="R29" s="6">
        <v>0</v>
      </c>
      <c r="S29" s="6">
        <v>50</v>
      </c>
      <c r="T29" s="6">
        <v>30</v>
      </c>
      <c r="U29" s="5" t="s">
        <v>244</v>
      </c>
      <c r="V29" s="5" t="s">
        <v>245</v>
      </c>
      <c r="W29" s="5" t="s">
        <v>246</v>
      </c>
    </row>
    <row r="30" spans="1:23" ht="24" customHeight="1" x14ac:dyDescent="0.2">
      <c r="A30" s="7" t="s">
        <v>247</v>
      </c>
      <c r="B30" s="7" t="s">
        <v>248</v>
      </c>
      <c r="C30" s="7" t="s">
        <v>27</v>
      </c>
      <c r="D30" s="8" t="s">
        <v>195</v>
      </c>
      <c r="E30" s="8" t="s">
        <v>249</v>
      </c>
      <c r="F30" s="7">
        <v>15.833299999999999</v>
      </c>
      <c r="G30" s="7">
        <v>-4.2167000000000003</v>
      </c>
      <c r="H30" s="8" t="s">
        <v>250</v>
      </c>
      <c r="I30" s="8" t="s">
        <v>164</v>
      </c>
      <c r="J30" s="8" t="s">
        <v>43</v>
      </c>
      <c r="K30" s="8" t="s">
        <v>33</v>
      </c>
      <c r="L30" s="8" t="s">
        <v>251</v>
      </c>
      <c r="M30" s="9">
        <v>0</v>
      </c>
      <c r="N30" s="9">
        <v>0</v>
      </c>
      <c r="O30" s="9">
        <v>1</v>
      </c>
      <c r="P30" s="9">
        <v>2</v>
      </c>
      <c r="Q30" s="9">
        <v>0</v>
      </c>
      <c r="R30" s="9">
        <v>0</v>
      </c>
      <c r="S30" s="9">
        <v>1</v>
      </c>
      <c r="T30" s="9">
        <v>0</v>
      </c>
      <c r="U30" s="8" t="s">
        <v>33</v>
      </c>
      <c r="V30" s="8" t="s">
        <v>252</v>
      </c>
      <c r="W30" s="8" t="s">
        <v>253</v>
      </c>
    </row>
    <row r="31" spans="1:23" ht="24" customHeight="1" x14ac:dyDescent="0.2">
      <c r="A31" s="4" t="s">
        <v>254</v>
      </c>
      <c r="B31" s="4" t="s">
        <v>248</v>
      </c>
      <c r="C31" s="4" t="s">
        <v>27</v>
      </c>
      <c r="D31" s="5" t="s">
        <v>39</v>
      </c>
      <c r="E31" s="5" t="s">
        <v>69</v>
      </c>
      <c r="F31" s="4">
        <v>18.441099999999999</v>
      </c>
      <c r="G31" s="4">
        <v>1.4077999999999999</v>
      </c>
      <c r="H31" s="5" t="s">
        <v>255</v>
      </c>
      <c r="I31" s="5" t="s">
        <v>256</v>
      </c>
      <c r="J31" s="5" t="s">
        <v>257</v>
      </c>
      <c r="K31" s="5" t="s">
        <v>73</v>
      </c>
      <c r="L31" s="5" t="s">
        <v>258</v>
      </c>
      <c r="M31" s="6">
        <v>0</v>
      </c>
      <c r="N31" s="6">
        <v>0</v>
      </c>
      <c r="O31" s="6">
        <v>5</v>
      </c>
      <c r="P31" s="6">
        <v>3</v>
      </c>
      <c r="Q31" s="6">
        <v>12</v>
      </c>
      <c r="R31" s="6">
        <v>0</v>
      </c>
      <c r="S31" s="6">
        <v>2</v>
      </c>
      <c r="T31" s="6">
        <v>5</v>
      </c>
      <c r="U31" s="5" t="s">
        <v>259</v>
      </c>
      <c r="V31" s="5" t="s">
        <v>260</v>
      </c>
      <c r="W31" s="5" t="s">
        <v>261</v>
      </c>
    </row>
    <row r="32" spans="1:23" ht="24" customHeight="1" x14ac:dyDescent="0.2">
      <c r="A32" s="7" t="s">
        <v>262</v>
      </c>
      <c r="B32" s="7" t="s">
        <v>263</v>
      </c>
      <c r="C32" s="7" t="s">
        <v>27</v>
      </c>
      <c r="D32" s="8" t="s">
        <v>264</v>
      </c>
      <c r="E32" s="8" t="s">
        <v>265</v>
      </c>
      <c r="F32" s="7">
        <v>16.149999999999999</v>
      </c>
      <c r="G32" s="7">
        <v>-0.1</v>
      </c>
      <c r="H32" s="8" t="s">
        <v>266</v>
      </c>
      <c r="I32" s="8" t="s">
        <v>267</v>
      </c>
      <c r="J32" s="8" t="s">
        <v>268</v>
      </c>
      <c r="K32" s="8" t="s">
        <v>33</v>
      </c>
      <c r="L32" s="8" t="s">
        <v>269</v>
      </c>
      <c r="M32" s="9">
        <v>0</v>
      </c>
      <c r="N32" s="9">
        <v>0</v>
      </c>
      <c r="O32" s="9">
        <v>0</v>
      </c>
      <c r="P32" s="9">
        <v>6</v>
      </c>
      <c r="Q32" s="9">
        <v>0</v>
      </c>
      <c r="R32" s="9">
        <v>0</v>
      </c>
      <c r="S32" s="9">
        <v>1</v>
      </c>
      <c r="T32" s="9">
        <v>0</v>
      </c>
      <c r="U32" s="8" t="s">
        <v>33</v>
      </c>
      <c r="V32" s="8" t="s">
        <v>270</v>
      </c>
      <c r="W32" s="8" t="s">
        <v>84</v>
      </c>
    </row>
    <row r="33" spans="1:23" ht="24" customHeight="1" x14ac:dyDescent="0.2">
      <c r="A33" s="4" t="s">
        <v>271</v>
      </c>
      <c r="B33" s="4" t="s">
        <v>263</v>
      </c>
      <c r="C33" s="4" t="s">
        <v>27</v>
      </c>
      <c r="D33" s="5" t="s">
        <v>79</v>
      </c>
      <c r="E33" s="5" t="s">
        <v>272</v>
      </c>
      <c r="F33" s="4">
        <v>14.8</v>
      </c>
      <c r="G33" s="4">
        <v>-3.8833000000000002</v>
      </c>
      <c r="H33" s="5" t="s">
        <v>273</v>
      </c>
      <c r="I33" s="5" t="s">
        <v>31</v>
      </c>
      <c r="J33" s="5" t="s">
        <v>274</v>
      </c>
      <c r="K33" s="5" t="s">
        <v>33</v>
      </c>
      <c r="L33" s="5" t="s">
        <v>275</v>
      </c>
      <c r="M33" s="6">
        <v>0</v>
      </c>
      <c r="N33" s="6">
        <v>0</v>
      </c>
      <c r="O33" s="6">
        <v>0</v>
      </c>
      <c r="P33" s="6">
        <v>3</v>
      </c>
      <c r="Q33" s="6">
        <v>4</v>
      </c>
      <c r="R33" s="6">
        <v>0</v>
      </c>
      <c r="S33" s="6">
        <v>1</v>
      </c>
      <c r="T33" s="6">
        <v>0</v>
      </c>
      <c r="U33" s="5" t="s">
        <v>276</v>
      </c>
      <c r="V33" s="5" t="s">
        <v>277</v>
      </c>
      <c r="W33" s="5" t="s">
        <v>278</v>
      </c>
    </row>
    <row r="34" spans="1:23" ht="24" customHeight="1" x14ac:dyDescent="0.2">
      <c r="A34" s="7" t="s">
        <v>279</v>
      </c>
      <c r="B34" s="7" t="s">
        <v>263</v>
      </c>
      <c r="C34" s="7" t="s">
        <v>27</v>
      </c>
      <c r="D34" s="8" t="s">
        <v>60</v>
      </c>
      <c r="E34" s="8" t="s">
        <v>280</v>
      </c>
      <c r="F34" s="7">
        <v>13.8</v>
      </c>
      <c r="G34" s="7">
        <v>-6.0833000000000004</v>
      </c>
      <c r="H34" s="8" t="s">
        <v>281</v>
      </c>
      <c r="I34" s="8" t="s">
        <v>31</v>
      </c>
      <c r="J34" s="8" t="s">
        <v>43</v>
      </c>
      <c r="K34" s="8" t="s">
        <v>33</v>
      </c>
      <c r="L34" s="8" t="s">
        <v>282</v>
      </c>
      <c r="M34" s="9">
        <v>0</v>
      </c>
      <c r="N34" s="9">
        <v>0</v>
      </c>
      <c r="O34" s="9">
        <v>8</v>
      </c>
      <c r="P34" s="9">
        <v>6</v>
      </c>
      <c r="Q34" s="9">
        <v>0</v>
      </c>
      <c r="R34" s="9">
        <v>0</v>
      </c>
      <c r="S34" s="9">
        <v>2</v>
      </c>
      <c r="T34" s="9">
        <v>1</v>
      </c>
      <c r="U34" s="8" t="s">
        <v>283</v>
      </c>
      <c r="V34" s="8" t="s">
        <v>284</v>
      </c>
      <c r="W34" s="8" t="s">
        <v>84</v>
      </c>
    </row>
    <row r="35" spans="1:23" ht="24" customHeight="1" x14ac:dyDescent="0.2">
      <c r="A35" s="4" t="s">
        <v>285</v>
      </c>
      <c r="B35" s="4" t="s">
        <v>286</v>
      </c>
      <c r="C35" s="4" t="s">
        <v>27</v>
      </c>
      <c r="D35" s="5" t="s">
        <v>60</v>
      </c>
      <c r="E35" s="5" t="s">
        <v>287</v>
      </c>
      <c r="F35" s="4">
        <v>13.433299999999999</v>
      </c>
      <c r="G35" s="4">
        <v>-6.2667000000000002</v>
      </c>
      <c r="H35" s="5" t="s">
        <v>288</v>
      </c>
      <c r="I35" s="5" t="s">
        <v>289</v>
      </c>
      <c r="J35" s="5" t="s">
        <v>290</v>
      </c>
      <c r="K35" s="5" t="s">
        <v>33</v>
      </c>
      <c r="L35" s="5" t="s">
        <v>291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1</v>
      </c>
      <c r="T35" s="6">
        <v>0</v>
      </c>
      <c r="U35" s="5" t="s">
        <v>292</v>
      </c>
      <c r="V35" s="5" t="s">
        <v>293</v>
      </c>
      <c r="W35" s="5" t="s">
        <v>294</v>
      </c>
    </row>
    <row r="36" spans="1:23" ht="24" customHeight="1" x14ac:dyDescent="0.2">
      <c r="A36" s="7" t="s">
        <v>295</v>
      </c>
      <c r="B36" s="7" t="s">
        <v>296</v>
      </c>
      <c r="C36" s="7" t="s">
        <v>27</v>
      </c>
      <c r="D36" s="8" t="s">
        <v>60</v>
      </c>
      <c r="E36" s="8" t="s">
        <v>297</v>
      </c>
      <c r="F36" s="7">
        <v>13.916700000000001</v>
      </c>
      <c r="G36" s="7">
        <v>-5.5332999999999997</v>
      </c>
      <c r="H36" s="8" t="s">
        <v>204</v>
      </c>
      <c r="I36" s="8" t="s">
        <v>298</v>
      </c>
      <c r="J36" s="8" t="s">
        <v>299</v>
      </c>
      <c r="K36" s="8" t="s">
        <v>73</v>
      </c>
      <c r="L36" s="8" t="s">
        <v>300</v>
      </c>
      <c r="M36" s="9">
        <v>6</v>
      </c>
      <c r="N36" s="9">
        <v>13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8" t="s">
        <v>33</v>
      </c>
      <c r="V36" s="8" t="s">
        <v>301</v>
      </c>
      <c r="W36" s="8" t="s">
        <v>302</v>
      </c>
    </row>
    <row r="37" spans="1:23" ht="24" customHeight="1" x14ac:dyDescent="0.2">
      <c r="A37" s="4" t="s">
        <v>303</v>
      </c>
      <c r="B37" s="4" t="s">
        <v>304</v>
      </c>
      <c r="C37" s="4" t="s">
        <v>27</v>
      </c>
      <c r="D37" s="5" t="s">
        <v>28</v>
      </c>
      <c r="E37" s="5" t="s">
        <v>305</v>
      </c>
      <c r="F37" s="4">
        <v>14.583299999999999</v>
      </c>
      <c r="G37" s="4">
        <v>-3.35</v>
      </c>
      <c r="H37" s="5" t="s">
        <v>306</v>
      </c>
      <c r="I37" s="5" t="s">
        <v>31</v>
      </c>
      <c r="J37" s="5" t="s">
        <v>307</v>
      </c>
      <c r="K37" s="5" t="s">
        <v>33</v>
      </c>
      <c r="L37" s="5" t="s">
        <v>308</v>
      </c>
      <c r="M37" s="6">
        <v>0</v>
      </c>
      <c r="N37" s="6">
        <v>0</v>
      </c>
      <c r="O37" s="6">
        <v>0</v>
      </c>
      <c r="P37" s="6">
        <v>0</v>
      </c>
      <c r="Q37" s="6">
        <v>1</v>
      </c>
      <c r="R37" s="6">
        <v>0</v>
      </c>
      <c r="S37" s="6">
        <v>0</v>
      </c>
      <c r="T37" s="6">
        <v>1</v>
      </c>
      <c r="U37" s="5" t="s">
        <v>309</v>
      </c>
      <c r="V37" s="5" t="s">
        <v>310</v>
      </c>
      <c r="W37" s="5" t="s">
        <v>311</v>
      </c>
    </row>
    <row r="38" spans="1:23" ht="24" customHeight="1" x14ac:dyDescent="0.2">
      <c r="A38" s="7" t="s">
        <v>312</v>
      </c>
      <c r="B38" s="7" t="s">
        <v>313</v>
      </c>
      <c r="C38" s="7" t="s">
        <v>27</v>
      </c>
      <c r="D38" s="8" t="s">
        <v>60</v>
      </c>
      <c r="E38" s="8" t="s">
        <v>314</v>
      </c>
      <c r="F38" s="7">
        <v>14.716699999999999</v>
      </c>
      <c r="G38" s="7">
        <v>-6.0833000000000004</v>
      </c>
      <c r="H38" s="8" t="s">
        <v>315</v>
      </c>
      <c r="I38" s="8" t="s">
        <v>31</v>
      </c>
      <c r="J38" s="8" t="s">
        <v>316</v>
      </c>
      <c r="K38" s="8" t="s">
        <v>33</v>
      </c>
      <c r="L38" s="8" t="s">
        <v>317</v>
      </c>
      <c r="M38" s="9">
        <v>0</v>
      </c>
      <c r="N38" s="9">
        <v>0</v>
      </c>
      <c r="O38" s="9">
        <v>2</v>
      </c>
      <c r="P38" s="9">
        <v>0</v>
      </c>
      <c r="Q38" s="9">
        <v>0</v>
      </c>
      <c r="R38" s="9">
        <v>0</v>
      </c>
      <c r="S38" s="9">
        <v>1</v>
      </c>
      <c r="T38" s="9">
        <v>0</v>
      </c>
      <c r="U38" s="8" t="s">
        <v>318</v>
      </c>
      <c r="V38" s="8" t="s">
        <v>319</v>
      </c>
      <c r="W38" s="8" t="s">
        <v>229</v>
      </c>
    </row>
    <row r="39" spans="1:23" ht="24" customHeight="1" x14ac:dyDescent="0.2">
      <c r="A39" s="4" t="s">
        <v>320</v>
      </c>
      <c r="B39" s="4" t="s">
        <v>321</v>
      </c>
      <c r="C39" s="4" t="s">
        <v>27</v>
      </c>
      <c r="D39" s="5" t="s">
        <v>195</v>
      </c>
      <c r="E39" s="5" t="s">
        <v>322</v>
      </c>
      <c r="F39" s="4">
        <v>16.7758</v>
      </c>
      <c r="G39" s="4">
        <v>-3.0093999999999999</v>
      </c>
      <c r="H39" s="5" t="s">
        <v>323</v>
      </c>
      <c r="I39" s="5" t="s">
        <v>324</v>
      </c>
      <c r="J39" s="5" t="s">
        <v>325</v>
      </c>
      <c r="K39" s="5" t="s">
        <v>73</v>
      </c>
      <c r="L39" s="5" t="s">
        <v>326</v>
      </c>
      <c r="M39" s="6">
        <v>12</v>
      </c>
      <c r="N39" s="6">
        <v>5</v>
      </c>
      <c r="O39" s="6">
        <v>4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5" t="s">
        <v>33</v>
      </c>
      <c r="V39" s="5" t="s">
        <v>327</v>
      </c>
      <c r="W39" s="5" t="s">
        <v>328</v>
      </c>
    </row>
    <row r="40" spans="1:23" ht="24" customHeight="1" x14ac:dyDescent="0.2">
      <c r="A40" s="7" t="s">
        <v>329</v>
      </c>
      <c r="B40" s="7" t="s">
        <v>330</v>
      </c>
      <c r="C40" s="7" t="s">
        <v>27</v>
      </c>
      <c r="D40" s="8" t="s">
        <v>60</v>
      </c>
      <c r="E40" s="8" t="s">
        <v>331</v>
      </c>
      <c r="F40" s="7">
        <v>15.283300000000001</v>
      </c>
      <c r="G40" s="7">
        <v>-5.3167</v>
      </c>
      <c r="H40" s="8" t="s">
        <v>332</v>
      </c>
      <c r="I40" s="8" t="s">
        <v>31</v>
      </c>
      <c r="J40" s="8" t="s">
        <v>333</v>
      </c>
      <c r="K40" s="8" t="s">
        <v>33</v>
      </c>
      <c r="L40" s="8" t="s">
        <v>334</v>
      </c>
      <c r="M40" s="9">
        <v>0</v>
      </c>
      <c r="N40" s="9">
        <v>0</v>
      </c>
      <c r="O40" s="9">
        <v>2</v>
      </c>
      <c r="P40" s="9">
        <v>0</v>
      </c>
      <c r="Q40" s="9">
        <v>0</v>
      </c>
      <c r="R40" s="9">
        <v>0</v>
      </c>
      <c r="S40" s="9">
        <v>1</v>
      </c>
      <c r="T40" s="9">
        <v>0</v>
      </c>
      <c r="U40" s="8" t="s">
        <v>33</v>
      </c>
      <c r="V40" s="8" t="s">
        <v>335</v>
      </c>
      <c r="W40" s="8" t="s">
        <v>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/>
  </sheetViews>
  <sheetFormatPr defaultRowHeight="15" x14ac:dyDescent="0.2"/>
  <cols>
    <col min="1" max="1" width="2.95703125" customWidth="1"/>
    <col min="2" max="2" width="27.98046875" customWidth="1"/>
    <col min="3" max="4" width="18.0234375" customWidth="1"/>
    <col min="5" max="5" width="27.98046875" customWidth="1"/>
    <col min="6" max="6" width="18.0234375" customWidth="1"/>
    <col min="7" max="7" width="4.9765625" customWidth="1"/>
    <col min="8" max="8" width="32.015625" customWidth="1"/>
    <col min="9" max="9" width="18.0234375" customWidth="1"/>
  </cols>
  <sheetData>
    <row r="1" spans="2:8" ht="22.5" x14ac:dyDescent="0.35">
      <c r="B1" s="1" t="s">
        <v>336</v>
      </c>
    </row>
    <row r="2" spans="2:8" x14ac:dyDescent="0.2">
      <c r="B2" s="2" t="s">
        <v>337</v>
      </c>
    </row>
    <row r="4" spans="2:8" x14ac:dyDescent="0.2">
      <c r="B4" s="10" t="s">
        <v>338</v>
      </c>
      <c r="E4" s="10" t="s">
        <v>339</v>
      </c>
      <c r="H4" s="10" t="s">
        <v>340</v>
      </c>
    </row>
    <row r="5" spans="2:8" ht="23.25" x14ac:dyDescent="0.2">
      <c r="B5" s="11">
        <f>COUNTA(DATA_CARTOGRAPHIE!A5:A40)</f>
        <v>36</v>
      </c>
      <c r="E5" s="11">
        <f>SUM(DATA_CARTOGRAPHIE!Q5:Q40)</f>
        <v>645</v>
      </c>
      <c r="H5" s="12" t="str">
        <f>SUM(DATA_CARTOGRAPHIE!M5:M40) &amp; " Morts / " &amp; SUM(DATA_CARTOGRAPHIE!N5:N40) &amp; " Blessés"</f>
        <v>28 Morts / 29 Blessés</v>
      </c>
    </row>
    <row r="7" spans="2:8" x14ac:dyDescent="0.2">
      <c r="B7" s="10" t="s">
        <v>341</v>
      </c>
      <c r="E7" s="10" t="s">
        <v>342</v>
      </c>
      <c r="H7" s="10" t="s">
        <v>343</v>
      </c>
    </row>
    <row r="8" spans="2:8" ht="23.25" x14ac:dyDescent="0.2">
      <c r="B8" s="12" t="str">
        <f>SUM(DATA_CARTOGRAPHIE!O5:O40) &amp; " FAMa / " &amp; SUM(DATA_CARTOGRAPHIE!P5:P40) &amp; " A.Corps"</f>
        <v>208 FAMa / 63 A.Corps</v>
      </c>
      <c r="E8" s="11">
        <f>SUM(DATA_CARTOGRAPHIE!R5:R40)</f>
        <v>123</v>
      </c>
      <c r="H8" s="11" t="str">
        <f>SUM(DATA_CARTOGRAPHIE!S5:S40) &amp; " Détruits / " &amp; SUM(DATA_CARTOGRAPHIE!T5:T40) &amp; " Saisis"</f>
        <v>299 Détruits / 267 Saisis</v>
      </c>
    </row>
    <row r="11" spans="2:8" ht="16.5" x14ac:dyDescent="0.25">
      <c r="B11" s="13" t="s">
        <v>344</v>
      </c>
    </row>
    <row r="12" spans="2:8" ht="24" customHeight="1" x14ac:dyDescent="0.2">
      <c r="B12" s="14" t="s">
        <v>345</v>
      </c>
      <c r="C12" s="14" t="s">
        <v>346</v>
      </c>
      <c r="D12" s="14" t="s">
        <v>347</v>
      </c>
      <c r="E12" s="14" t="s">
        <v>348</v>
      </c>
      <c r="F12" s="14" t="s">
        <v>349</v>
      </c>
    </row>
    <row r="13" spans="2:8" ht="20.100000000000001" customHeight="1" x14ac:dyDescent="0.2">
      <c r="B13" s="15" t="s">
        <v>60</v>
      </c>
      <c r="C13" s="4">
        <f>COUNTIF(DATA_CARTOGRAPHIE!D5:D40, "*Ségou*")</f>
        <v>10</v>
      </c>
      <c r="D13" s="4">
        <v>28</v>
      </c>
      <c r="E13" s="4">
        <v>6</v>
      </c>
      <c r="F13" s="15" t="s">
        <v>350</v>
      </c>
    </row>
    <row r="14" spans="2:8" ht="20.100000000000001" customHeight="1" x14ac:dyDescent="0.2">
      <c r="B14" s="15" t="s">
        <v>28</v>
      </c>
      <c r="C14" s="4">
        <f>COUNTIF(DATA_CARTOGRAPHIE!D5:D40, "*Mopti*")</f>
        <v>11</v>
      </c>
      <c r="D14" s="4">
        <v>172</v>
      </c>
      <c r="E14" s="4">
        <v>7</v>
      </c>
      <c r="F14" s="15" t="s">
        <v>351</v>
      </c>
    </row>
    <row r="15" spans="2:8" ht="20.100000000000001" customHeight="1" x14ac:dyDescent="0.2">
      <c r="B15" s="15" t="s">
        <v>39</v>
      </c>
      <c r="C15" s="4">
        <f>COUNTIF(DATA_CARTOGRAPHIE!D5:D40, "*Kidal*")</f>
        <v>5</v>
      </c>
      <c r="D15" s="4">
        <v>8</v>
      </c>
      <c r="E15" s="4">
        <v>0</v>
      </c>
      <c r="F15" s="15" t="s">
        <v>352</v>
      </c>
    </row>
    <row r="16" spans="2:8" ht="20.100000000000001" customHeight="1" x14ac:dyDescent="0.2">
      <c r="B16" s="15" t="s">
        <v>195</v>
      </c>
      <c r="C16" s="4">
        <f>COUNTIF(DATA_CARTOGRAPHIE!D5:D40, "*Tombouctou*")</f>
        <v>4</v>
      </c>
      <c r="D16" s="4">
        <v>10</v>
      </c>
      <c r="E16" s="4">
        <v>12</v>
      </c>
      <c r="F16" s="15" t="s">
        <v>353</v>
      </c>
    </row>
    <row r="17" spans="2:6" ht="20.100000000000001" customHeight="1" x14ac:dyDescent="0.2">
      <c r="B17" s="15" t="s">
        <v>354</v>
      </c>
      <c r="C17" s="4">
        <f>COUNTIF(DATA_CARTOGRAPHIE!D5:D40, "*Sikasso*") + COUNTIF(DATA_CARTOGRAPHIE!D5:D40, "*Koulikoro*")</f>
        <v>4</v>
      </c>
      <c r="D17" s="4">
        <v>7</v>
      </c>
      <c r="E17" s="4">
        <v>3</v>
      </c>
      <c r="F17" s="15" t="s">
        <v>355</v>
      </c>
    </row>
    <row r="18" spans="2:6" ht="20.100000000000001" customHeight="1" x14ac:dyDescent="0.2">
      <c r="B18" s="15" t="s">
        <v>356</v>
      </c>
      <c r="C18" s="4">
        <f>COUNTIF(DATA_CARTOGRAPHIE!D5:D40, "*Burkina*")</f>
        <v>1</v>
      </c>
      <c r="D18" s="4">
        <v>0</v>
      </c>
      <c r="E18" s="4">
        <v>0</v>
      </c>
      <c r="F18" s="15" t="s">
        <v>357</v>
      </c>
    </row>
    <row r="20" spans="2:6" ht="16.5" x14ac:dyDescent="0.25">
      <c r="B20" s="13" t="s">
        <v>358</v>
      </c>
    </row>
    <row r="22" spans="2:6" ht="24" customHeight="1" x14ac:dyDescent="0.2">
      <c r="B22" s="14" t="s">
        <v>359</v>
      </c>
      <c r="C22" s="14" t="s">
        <v>360</v>
      </c>
      <c r="D22" s="14" t="s">
        <v>361</v>
      </c>
      <c r="E22" s="14" t="s">
        <v>362</v>
      </c>
    </row>
    <row r="23" spans="2:6" ht="32.1" customHeight="1" x14ac:dyDescent="0.2">
      <c r="B23" s="5" t="s">
        <v>363</v>
      </c>
      <c r="C23" s="5" t="s">
        <v>364</v>
      </c>
      <c r="D23" s="5" t="s">
        <v>365</v>
      </c>
      <c r="E23" s="5" t="s">
        <v>366</v>
      </c>
    </row>
    <row r="24" spans="2:6" ht="32.1" customHeight="1" x14ac:dyDescent="0.2">
      <c r="B24" s="5" t="s">
        <v>53</v>
      </c>
      <c r="C24" s="5" t="s">
        <v>367</v>
      </c>
      <c r="D24" s="5" t="s">
        <v>368</v>
      </c>
      <c r="E24" s="5" t="s">
        <v>369</v>
      </c>
    </row>
    <row r="25" spans="2:6" ht="32.1" customHeight="1" x14ac:dyDescent="0.2">
      <c r="B25" s="5" t="s">
        <v>370</v>
      </c>
      <c r="C25" s="5" t="s">
        <v>371</v>
      </c>
      <c r="D25" s="5" t="s">
        <v>372</v>
      </c>
      <c r="E25" s="5" t="s">
        <v>373</v>
      </c>
    </row>
    <row r="26" spans="2:6" ht="32.1" customHeight="1" x14ac:dyDescent="0.2">
      <c r="B26" s="5" t="s">
        <v>43</v>
      </c>
      <c r="C26" s="5" t="s">
        <v>374</v>
      </c>
      <c r="D26" s="5" t="s">
        <v>375</v>
      </c>
      <c r="E26" s="5" t="s">
        <v>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/>
  </sheetViews>
  <sheetFormatPr defaultRowHeight="15" x14ac:dyDescent="0.2"/>
  <cols>
    <col min="1" max="4" width="29.99609375" customWidth="1"/>
  </cols>
  <sheetData>
    <row r="1" spans="1:4" ht="22.5" x14ac:dyDescent="0.35">
      <c r="A1" s="1" t="s">
        <v>377</v>
      </c>
    </row>
    <row r="3" spans="1:4" ht="24" customHeight="1" x14ac:dyDescent="0.2">
      <c r="A3" s="14" t="s">
        <v>378</v>
      </c>
      <c r="B3" s="14" t="s">
        <v>379</v>
      </c>
      <c r="C3" s="14" t="s">
        <v>380</v>
      </c>
      <c r="D3" s="14" t="s">
        <v>381</v>
      </c>
    </row>
    <row r="4" spans="1:4" ht="20.100000000000001" customHeight="1" x14ac:dyDescent="0.2">
      <c r="A4" s="16" t="s">
        <v>2</v>
      </c>
      <c r="B4" s="16" t="s">
        <v>382</v>
      </c>
      <c r="C4" s="15" t="s">
        <v>383</v>
      </c>
      <c r="D4" s="15" t="s">
        <v>25</v>
      </c>
    </row>
    <row r="5" spans="1:4" ht="20.100000000000001" customHeight="1" x14ac:dyDescent="0.2">
      <c r="A5" s="16" t="s">
        <v>3</v>
      </c>
      <c r="B5" s="16" t="s">
        <v>384</v>
      </c>
      <c r="C5" s="15" t="s">
        <v>385</v>
      </c>
      <c r="D5" s="15" t="s">
        <v>26</v>
      </c>
    </row>
    <row r="6" spans="1:4" ht="20.100000000000001" customHeight="1" x14ac:dyDescent="0.2">
      <c r="A6" s="16" t="s">
        <v>4</v>
      </c>
      <c r="B6" s="16" t="s">
        <v>386</v>
      </c>
      <c r="C6" s="15" t="s">
        <v>387</v>
      </c>
      <c r="D6" s="15" t="s">
        <v>27</v>
      </c>
    </row>
    <row r="7" spans="1:4" ht="20.100000000000001" customHeight="1" x14ac:dyDescent="0.2">
      <c r="A7" s="16" t="s">
        <v>5</v>
      </c>
      <c r="B7" s="16" t="s">
        <v>386</v>
      </c>
      <c r="C7" s="15" t="s">
        <v>388</v>
      </c>
      <c r="D7" s="15" t="s">
        <v>28</v>
      </c>
    </row>
    <row r="8" spans="1:4" ht="20.100000000000001" customHeight="1" x14ac:dyDescent="0.2">
      <c r="A8" s="16" t="s">
        <v>6</v>
      </c>
      <c r="B8" s="16" t="s">
        <v>386</v>
      </c>
      <c r="C8" s="15" t="s">
        <v>389</v>
      </c>
      <c r="D8" s="15" t="s">
        <v>29</v>
      </c>
    </row>
    <row r="9" spans="1:4" ht="20.100000000000001" customHeight="1" x14ac:dyDescent="0.2">
      <c r="A9" s="16" t="s">
        <v>7</v>
      </c>
      <c r="B9" s="16" t="s">
        <v>390</v>
      </c>
      <c r="C9" s="15" t="s">
        <v>391</v>
      </c>
      <c r="D9" s="15" t="s">
        <v>392</v>
      </c>
    </row>
    <row r="10" spans="1:4" ht="20.100000000000001" customHeight="1" x14ac:dyDescent="0.2">
      <c r="A10" s="16" t="s">
        <v>8</v>
      </c>
      <c r="B10" s="16" t="s">
        <v>390</v>
      </c>
      <c r="C10" s="15" t="s">
        <v>393</v>
      </c>
      <c r="D10" s="15" t="s">
        <v>394</v>
      </c>
    </row>
    <row r="11" spans="1:4" ht="20.100000000000001" customHeight="1" x14ac:dyDescent="0.2">
      <c r="A11" s="16" t="s">
        <v>9</v>
      </c>
      <c r="B11" s="16" t="s">
        <v>395</v>
      </c>
      <c r="C11" s="15" t="s">
        <v>396</v>
      </c>
      <c r="D11" s="15" t="s">
        <v>397</v>
      </c>
    </row>
    <row r="12" spans="1:4" ht="20.100000000000001" customHeight="1" x14ac:dyDescent="0.2">
      <c r="A12" s="16" t="s">
        <v>10</v>
      </c>
      <c r="B12" s="16" t="s">
        <v>386</v>
      </c>
      <c r="C12" s="15" t="s">
        <v>398</v>
      </c>
      <c r="D12" s="15" t="s">
        <v>31</v>
      </c>
    </row>
    <row r="13" spans="1:4" ht="20.100000000000001" customHeight="1" x14ac:dyDescent="0.2">
      <c r="A13" s="16" t="s">
        <v>11</v>
      </c>
      <c r="B13" s="16" t="s">
        <v>386</v>
      </c>
      <c r="C13" s="15" t="s">
        <v>399</v>
      </c>
      <c r="D13" s="15" t="s">
        <v>43</v>
      </c>
    </row>
    <row r="14" spans="1:4" ht="20.100000000000001" customHeight="1" x14ac:dyDescent="0.2">
      <c r="A14" s="16" t="s">
        <v>400</v>
      </c>
      <c r="B14" s="16" t="s">
        <v>401</v>
      </c>
      <c r="C14" s="15" t="s">
        <v>402</v>
      </c>
      <c r="D14" s="15" t="s">
        <v>403</v>
      </c>
    </row>
    <row r="15" spans="1:4" ht="20.100000000000001" customHeight="1" x14ac:dyDescent="0.2">
      <c r="A15" s="16" t="s">
        <v>404</v>
      </c>
      <c r="B15" s="16" t="s">
        <v>401</v>
      </c>
      <c r="C15" s="15" t="s">
        <v>405</v>
      </c>
      <c r="D15" s="15" t="s">
        <v>406</v>
      </c>
    </row>
    <row r="16" spans="1:4" ht="20.100000000000001" customHeight="1" x14ac:dyDescent="0.2">
      <c r="A16" s="16" t="s">
        <v>24</v>
      </c>
      <c r="B16" s="16" t="s">
        <v>386</v>
      </c>
      <c r="C16" s="15" t="s">
        <v>407</v>
      </c>
      <c r="D16" s="15" t="s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DATA_CARTOGRAPHIE</vt:lpstr>
      <vt:lpstr>TABLEAU_DE_BORD</vt:lpstr>
      <vt:lpstr>DICTIONNAIRE_DONNEES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2026-10-29T07:44:16Z</dcterms:created>
  <dcterms:modified xsi:type="dcterms:W3CDTF">2026-10-29T07:44:16Z</dcterms:modified>
</cp:coreProperties>
</file>